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Lista de regalos" sheetId="2" state="visible" r:id="rId4"/>
  </sheets>
  <definedNames>
    <definedName function="false" hidden="false" localSheetId="1" name="_xlnm.Print_Titles" vbProcedure="false">'Lista de regalos'!$2:$2</definedName>
    <definedName function="false" hidden="false" localSheetId="0" name="_xlnm.Print_Titles" vbProcedure="false">Resumen!$4:$4</definedName>
    <definedName function="false" hidden="false" name="Ajustar_Presupuesto" vbProcedure="false">Resumen!$D$3</definedName>
    <definedName function="false" hidden="false" name="Dinero_Asignado_Restante" vbProcedure="false">IF(Destinatarios[[#Totals],[Trabajo inicial]]=1,PresupuestoTotal*Resumen!XFD1,IF(Destinatarios[[#Totals],[Trabajo inicial]]&gt;1,(PresupuestoTotal/Destinatarios[[#Totals],[Trabajo inicial]])*Resumen!XFD1,PresupuestoTotal*Resumen!XFD1))</definedName>
    <definedName function="false" hidden="false" name="NombresDeDestinatarios" vbProcedure="false">Destinatarios[Sprint]</definedName>
    <definedName function="false" hidden="false" name="PresupuestoTotal" vbProcedure="false">Resumen!$F$1</definedName>
    <definedName function="false" hidden="false" name="RESTANTES" vbProcedure="false">resumen!#ref!</definedName>
    <definedName function="false" hidden="false" name="Título1" vbProcedure="false">Destinatarios[[#Headers],[Sprint]]</definedName>
    <definedName function="false" hidden="false" name="Título2" vbProcedure="false">Regalos[[#Headers],[DESTINATARIO]]</definedName>
    <definedName function="false" hidden="false" name="TítuloDeFilaRegión1..F4" vbProcedure="false">Resumen!$E$1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<sst xmlns="http://schemas.openxmlformats.org/spreadsheetml/2006/main" count="48" uniqueCount="38">
  <si>
    <t xml:space="preserve">Burn-Down Chart</t>
  </si>
  <si>
    <t xml:space="preserve">Sistema de comanda digital</t>
  </si>
  <si>
    <t xml:space="preserve">Responsable</t>
  </si>
  <si>
    <t xml:space="preserve">Jorge Edmundo Osornio Tapia</t>
  </si>
  <si>
    <t xml:space="preserve">Supervision</t>
  </si>
  <si>
    <t xml:space="preserve">Guadalupe Yosabeth Peres Estrada </t>
  </si>
  <si>
    <t xml:space="preserve">Sprint 4</t>
  </si>
  <si>
    <t xml:space="preserve">Fecha</t>
  </si>
  <si>
    <t xml:space="preserve">Sprint</t>
  </si>
  <si>
    <t xml:space="preserve">Trabajo inicial</t>
  </si>
  <si>
    <t xml:space="preserve">Trabajo restante actual</t>
  </si>
  <si>
    <t xml:space="preserve">Trabajo restante ideal</t>
  </si>
  <si>
    <t xml:space="preserve">Sprint 1</t>
  </si>
  <si>
    <t xml:space="preserve">Sprint 2</t>
  </si>
  <si>
    <t xml:space="preserve">Sprint 3</t>
  </si>
  <si>
    <t xml:space="preserve">Sprint 5</t>
  </si>
  <si>
    <t xml:space="preserve">Sprint 6</t>
  </si>
  <si>
    <t xml:space="preserve">Sprint 7</t>
  </si>
  <si>
    <t xml:space="preserve">festividad</t>
  </si>
  <si>
    <t xml:space="preserve">LISTA DE REGALOS</t>
  </si>
  <si>
    <t xml:space="preserve">DESTINATARIO</t>
  </si>
  <si>
    <t xml:space="preserve">REGALO</t>
  </si>
  <si>
    <t xml:space="preserve">COSTE</t>
  </si>
  <si>
    <t xml:space="preserve">COMPRADO</t>
  </si>
  <si>
    <t xml:space="preserve">ENVUELTO</t>
  </si>
  <si>
    <t xml:space="preserve">Julia</t>
  </si>
  <si>
    <t xml:space="preserve">Casa de muñecas</t>
  </si>
  <si>
    <t xml:space="preserve">Sí</t>
  </si>
  <si>
    <t xml:space="preserve">Bartolomé</t>
  </si>
  <si>
    <t xml:space="preserve">Bicicleta</t>
  </si>
  <si>
    <t xml:space="preserve">Renata</t>
  </si>
  <si>
    <t xml:space="preserve">Materiales de álbum de recortes</t>
  </si>
  <si>
    <t xml:space="preserve">Andrés</t>
  </si>
  <si>
    <t xml:space="preserve">Tren de juguete</t>
  </si>
  <si>
    <t xml:space="preserve">Suéter</t>
  </si>
  <si>
    <t xml:space="preserve">Miguel</t>
  </si>
  <si>
    <t xml:space="preserve">Tarjeta de regalo</t>
  </si>
  <si>
    <t xml:space="preserve">Vestido</t>
  </si>
</sst>
</file>

<file path=xl/styles.xml><?xml version="1.0" encoding="utf-8"?>
<styleSheet xmlns="http://schemas.openxmlformats.org/spreadsheetml/2006/main">
  <numFmts count="5">
    <numFmt numFmtId="164" formatCode="General"/>
    <numFmt numFmtId="165" formatCode="#,##0.00&quot; €&quot;"/>
    <numFmt numFmtId="166" formatCode="dd\-mmm\-yy"/>
    <numFmt numFmtId="167" formatCode="0%"/>
    <numFmt numFmtId="168" formatCode="0"/>
  </numFmts>
  <fonts count="12">
    <font>
      <sz val="11"/>
      <color theme="3"/>
      <name val="Georgia"/>
      <family val="2"/>
      <charset val="1"/>
    </font>
    <font>
      <sz val="10"/>
      <name val="Arial"/>
      <family val="0"/>
    </font>
    <font>
      <sz val="10"/>
      <name val="Arial"/>
      <family val="0"/>
    </font>
    <font>
      <sz val="10"/>
      <name val="Arial"/>
      <family val="0"/>
    </font>
    <font>
      <b val="true"/>
      <sz val="11"/>
      <color theme="5" tint="-0.5"/>
      <name val="Calibri"/>
      <family val="2"/>
      <charset val="1"/>
    </font>
    <font>
      <b val="true"/>
      <i val="true"/>
      <sz val="28"/>
      <color rgb="FF347466"/>
      <name val="Georgia"/>
      <family val="0"/>
      <charset val="1"/>
    </font>
    <font>
      <b val="true"/>
      <i val="true"/>
      <sz val="37"/>
      <color theme="4" tint="-0.5"/>
      <name val="Georgia"/>
      <family val="1"/>
      <charset val="1"/>
    </font>
    <font>
      <sz val="30"/>
      <color theme="5" tint="-0.25"/>
      <name val="Calibri"/>
      <family val="2"/>
      <charset val="1"/>
    </font>
    <font>
      <b val="true"/>
      <sz val="11"/>
      <color theme="3"/>
      <name val="Georgia"/>
      <family val="2"/>
      <charset val="1"/>
    </font>
    <font>
      <b val="true"/>
      <sz val="15"/>
      <color rgb="FFCC0000"/>
      <name val="Calibri"/>
      <family val="2"/>
      <charset val="1"/>
    </font>
    <font>
      <sz val="11"/>
      <color theme="3"/>
      <name val="Calibri"/>
      <family val="2"/>
      <charset val="1"/>
    </font>
    <font>
      <sz val="11"/>
      <color theme="3"/>
      <name val="Georgia"/>
      <family val="0"/>
      <charset val="1"/>
    </font>
  </fonts>
  <fills count="2">
    <fill>
      <patternFill patternType="none"/>
    </fill>
    <fill>
      <patternFill patternType="gray125"/>
    </fill>
  </fills>
  <borders count="3">
    <border diagonalUp="false" diagonalDown="false">
      <left/>
      <right/>
      <top/>
      <bottom/>
      <diagonal/>
    </border>
    <border diagonalUp="false" diagonalDown="false">
      <left/>
      <right/>
      <top/>
      <bottom style="thin">
        <color theme="4"/>
      </bottom>
      <diagonal/>
    </border>
    <border diagonalUp="false" diagonalDown="false">
      <left style="thin"/>
      <right style="thin"/>
      <top style="thin"/>
      <bottom style="thin"/>
      <diagonal/>
    </border>
  </borders>
  <cellStyleXfs count="28">
    <xf numFmtId="164" fontId="0" fillId="0" borderId="0" applyFont="true" applyBorder="true" applyAlignment="true" applyProtection="true">
      <alignment horizontal="left" vertical="center" textRotation="0" wrapText="true" indent="1"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8" fontId="0" fillId="0" borderId="0" applyFont="true" applyBorder="false" applyAlignment="true" applyProtection="false">
      <alignment horizontal="center" vertical="center" textRotation="0" wrapText="false" indent="0" shrinkToFit="false"/>
    </xf>
    <xf numFmtId="41" fontId="1" fillId="0" borderId="0" applyFont="true" applyBorder="false" applyAlignment="false" applyProtection="false"/>
    <xf numFmtId="165" fontId="0" fillId="0" borderId="0" applyFont="true" applyBorder="false" applyAlignment="true" applyProtection="false">
      <alignment horizontal="right" vertical="center" textRotation="0" wrapText="false" indent="1" shrinkToFit="false"/>
    </xf>
    <xf numFmtId="42" fontId="1" fillId="0" borderId="0" applyFont="true" applyBorder="false" applyAlignment="false" applyProtection="false"/>
    <xf numFmtId="167" fontId="0" fillId="0" borderId="0" applyFont="true" applyBorder="false" applyAlignment="true" applyProtection="false">
      <alignment horizontal="center" vertical="center" textRotation="0" wrapText="false" indent="0" shrinkToFit="false"/>
    </xf>
    <xf numFmtId="164" fontId="0" fillId="0" borderId="0" applyFont="true" applyBorder="false" applyAlignment="true" applyProtection="false">
      <alignment horizontal="center" vertical="center" textRotation="0" wrapText="false" indent="0" shrinkToFit="false"/>
    </xf>
    <xf numFmtId="165" fontId="0" fillId="0" borderId="0" applyFont="true" applyBorder="false" applyAlignment="true" applyProtection="false">
      <alignment horizontal="right" vertical="center" textRotation="0" wrapText="false" indent="1" shrinkToFit="false"/>
    </xf>
    <xf numFmtId="164" fontId="4" fillId="0" borderId="0" applyFont="true" applyBorder="false" applyAlignment="true" applyProtection="true">
      <alignment horizontal="center" vertical="center" textRotation="0" wrapText="true" indent="0" shrinkToFit="false"/>
      <protection locked="true" hidden="false"/>
    </xf>
    <xf numFmtId="164" fontId="6" fillId="0" borderId="0" applyFont="true" applyBorder="true" applyAlignment="true" applyProtection="true">
      <alignment horizontal="general" vertical="center" textRotation="0" wrapText="false" indent="0" shrinkToFit="false"/>
      <protection locked="true" hidden="false"/>
    </xf>
    <xf numFmtId="164" fontId="7" fillId="0" borderId="0" applyFont="true" applyBorder="true" applyAlignment="true" applyProtection="true">
      <alignment horizontal="general" vertical="center" textRotation="0" wrapText="false" indent="0" shrinkToFit="false"/>
      <protection locked="true" hidden="false"/>
    </xf>
    <xf numFmtId="164" fontId="4" fillId="0" borderId="0" applyFont="true" applyBorder="true" applyAlignment="true" applyProtection="true">
      <alignment horizontal="right" vertical="bottom" textRotation="0" wrapText="false" indent="1" shrinkToFit="false"/>
      <protection locked="true" hidden="false"/>
    </xf>
    <xf numFmtId="165" fontId="8" fillId="0" borderId="1" applyFont="true" applyBorder="true" applyAlignment="true" applyProtection="true">
      <alignment horizontal="left" vertical="bottom" textRotation="0" wrapText="false" indent="1" shrinkToFit="false"/>
      <protection locked="true" hidden="false"/>
    </xf>
    <xf numFmtId="164" fontId="10" fillId="0" borderId="0" applyFont="true" applyBorder="false" applyAlignment="true" applyProtection="false">
      <alignment horizontal="left" vertical="center" textRotation="0" wrapText="true" indent="1" shrinkToFit="false"/>
    </xf>
  </cellStyleXfs>
  <cellXfs count="23">
    <xf numFmtId="164" fontId="0" fillId="0" borderId="0" xfId="0" applyFont="false" applyBorder="false" applyAlignment="false" applyProtection="false">
      <alignment horizontal="left" vertical="center" textRotation="0" wrapText="true" indent="1" shrinkToFit="false"/>
      <protection locked="true" hidden="false"/>
    </xf>
    <xf numFmtId="164" fontId="0" fillId="0" borderId="0" xfId="0" applyFont="false" applyBorder="false" applyAlignment="true" applyProtection="true">
      <alignment horizontal="left" vertical="center" textRotation="0" wrapText="true" indent="1" shrinkToFit="false"/>
      <protection locked="true" hidden="false"/>
    </xf>
    <xf numFmtId="164" fontId="5" fillId="0" borderId="0" xfId="23" applyFont="true" applyBorder="true" applyAlignment="true" applyProtection="true">
      <alignment horizontal="general" vertical="center" textRotation="0" wrapText="true" indent="0" shrinkToFit="false"/>
      <protection locked="true" hidden="false"/>
    </xf>
    <xf numFmtId="164" fontId="7" fillId="0" borderId="0" xfId="24" applyFont="true" applyBorder="true" applyAlignment="true" applyProtection="true">
      <alignment horizontal="general" vertical="center" textRotation="0" wrapText="false" indent="0" shrinkToFit="false"/>
      <protection locked="true" hidden="false"/>
    </xf>
    <xf numFmtId="164" fontId="4" fillId="0" borderId="0" xfId="25" applyFont="true" applyBorder="false" applyAlignment="true" applyProtection="true">
      <alignment horizontal="right" vertical="bottom" textRotation="0" wrapText="true" indent="1" shrinkToFit="false"/>
      <protection locked="true" hidden="false"/>
    </xf>
    <xf numFmtId="165" fontId="8" fillId="0" borderId="1" xfId="26" applyFont="true" applyBorder="true" applyAlignment="true" applyProtection="true">
      <alignment horizontal="left" vertical="bottom" textRotation="0" wrapText="false" indent="1"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9" fillId="0" borderId="0" xfId="27" applyFont="true" applyBorder="true" applyAlignment="true" applyProtection="true">
      <alignment horizontal="left" vertical="center" textRotation="0" wrapText="false" indent="1" shrinkToFit="false"/>
      <protection locked="true" hidden="false"/>
    </xf>
    <xf numFmtId="164" fontId="10" fillId="0" borderId="0" xfId="27" applyFont="true" applyBorder="true" applyAlignment="true" applyProtection="true">
      <alignment horizontal="left" vertical="center" textRotation="0" wrapText="false" indent="1" shrinkToFit="false"/>
      <protection locked="true" hidden="false"/>
    </xf>
    <xf numFmtId="164" fontId="10" fillId="0" borderId="0" xfId="27" applyFont="true" applyBorder="true" applyAlignment="true" applyProtection="true">
      <alignment horizontal="left" vertical="center" textRotation="0" wrapText="true" indent="1" shrinkToFit="false"/>
      <protection locked="true" hidden="false"/>
    </xf>
    <xf numFmtId="164" fontId="0" fillId="0" borderId="0" xfId="0" applyFont="true" applyBorder="false" applyAlignment="true" applyProtection="true">
      <alignment horizontal="right" vertical="center" textRotation="0" wrapText="true" indent="0" shrinkToFit="false"/>
      <protection locked="true" hidden="false"/>
    </xf>
    <xf numFmtId="166" fontId="0" fillId="0" borderId="0" xfId="0" applyFont="false" applyBorder="false" applyAlignment="true" applyProtection="true">
      <alignment horizontal="left" vertical="center" textRotation="0" wrapText="true" indent="1" shrinkToFit="false"/>
      <protection locked="true" hidden="false"/>
    </xf>
    <xf numFmtId="164" fontId="4" fillId="0" borderId="2" xfId="22" applyFont="true" applyBorder="tru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left" vertical="center" textRotation="0" wrapText="true" indent="1" shrinkToFit="false"/>
      <protection locked="true" hidden="false"/>
    </xf>
    <xf numFmtId="164" fontId="0" fillId="0" borderId="2" xfId="19" applyFont="true" applyBorder="true" applyAlignment="true" applyProtection="true">
      <alignment horizontal="center" vertical="center" textRotation="0" wrapText="false" indent="0" shrinkToFit="false"/>
      <protection locked="true" hidden="false"/>
    </xf>
    <xf numFmtId="164" fontId="0" fillId="0" borderId="2" xfId="17" applyFont="true" applyBorder="true" applyAlignment="true" applyProtection="true">
      <alignment horizontal="center" vertical="center" textRotation="0" wrapText="false" indent="0" shrinkToFit="false"/>
      <protection locked="true" hidden="false"/>
    </xf>
    <xf numFmtId="164" fontId="0" fillId="0" borderId="2" xfId="15" applyFont="true" applyBorder="true" applyAlignment="true" applyProtection="true">
      <alignment horizontal="center" vertical="center" textRotation="0" wrapText="false" indent="0" shrinkToFit="false"/>
      <protection locked="true" hidden="false"/>
    </xf>
    <xf numFmtId="164" fontId="11" fillId="0" borderId="2" xfId="17" applyFont="true" applyBorder="true" applyAlignment="true" applyProtection="true">
      <alignment horizontal="center" vertical="center" textRotation="0" wrapText="false" indent="0" shrinkToFit="false"/>
      <protection locked="true" hidden="false"/>
    </xf>
    <xf numFmtId="164" fontId="6" fillId="0" borderId="0" xfId="23" applyFont="true" applyBorder="false" applyAlignment="true" applyProtection="true">
      <alignment horizontal="general" vertical="center" textRotation="0" wrapText="false" indent="0" shrinkToFit="false"/>
      <protection locked="true" hidden="false"/>
    </xf>
    <xf numFmtId="164" fontId="7" fillId="0" borderId="0" xfId="24"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true" indent="1" shrinkToFit="false"/>
      <protection locked="true" hidden="false"/>
    </xf>
    <xf numFmtId="165" fontId="0" fillId="0" borderId="0" xfId="21" applyFont="true" applyBorder="true" applyAlignment="true" applyProtection="true">
      <alignment horizontal="right" vertical="center" textRotation="0" wrapText="false" indent="1" shrinkToFit="false"/>
      <protection locked="true" hidden="false"/>
    </xf>
    <xf numFmtId="164" fontId="0" fillId="0" borderId="0" xfId="20" applyFont="true" applyBorder="true" applyAlignment="true" applyProtection="true">
      <alignment horizontal="center" vertical="center" textRotation="0" wrapText="false" indent="0" shrinkToFit="false"/>
      <protection locked="true" hidden="false"/>
    </xf>
  </cellXfs>
  <cellStyles count="14">
    <cellStyle name="Normal" xfId="0" builtinId="0"/>
    <cellStyle name="Comma" xfId="15" builtinId="3"/>
    <cellStyle name="Comma [0]" xfId="16" builtinId="6"/>
    <cellStyle name="Currency" xfId="17" builtinId="4"/>
    <cellStyle name="Currency [0]" xfId="18" builtinId="7"/>
    <cellStyle name="Percent" xfId="19" builtinId="5"/>
    <cellStyle name="Comprado/envuelto" xfId="20"/>
    <cellStyle name="Divisa personalizada" xfId="21"/>
    <cellStyle name="Encabezado de la tabla" xfId="22"/>
    <cellStyle name="Excel Built-in Title" xfId="23"/>
    <cellStyle name="Excel Built-in Heading 1" xfId="24"/>
    <cellStyle name="Excel Built-in Heading 2" xfId="25"/>
    <cellStyle name="Excel Built-in Input" xfId="26"/>
    <cellStyle name="Excel Built-in Heading 3" xfId="27"/>
  </cellStyles>
  <dxfs count="5">
    <dxf>
      <fill>
        <patternFill patternType="solid">
          <bgColor rgb="FF000000"/>
        </patternFill>
      </fill>
    </dxf>
    <dxf>
      <fill>
        <patternFill patternType="solid">
          <fgColor rgb="FF4D4741"/>
          <bgColor rgb="FF000000"/>
        </patternFill>
      </fill>
    </dxf>
    <dxf>
      <fill>
        <patternFill patternType="solid">
          <fgColor rgb="FF904600"/>
          <bgColor rgb="FF000000"/>
        </patternFill>
      </fill>
    </dxf>
    <dxf>
      <fill>
        <patternFill patternType="solid">
          <fgColor rgb="FFBCB5AF"/>
          <bgColor rgb="FF000000"/>
        </patternFill>
      </fill>
    </dxf>
    <dxf>
      <font>
        <strike val="1"/>
        <color rgb="FFBCB5AF"/>
      </font>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347465"/>
      <rgbColor rgb="FFBCB5A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7C9BA"/>
      <rgbColor rgb="FFFF99CC"/>
      <rgbColor rgb="FFCC99FF"/>
      <rgbColor rgb="FFFFCC99"/>
      <rgbColor rgb="FF3366FF"/>
      <rgbColor rgb="FF33CCCC"/>
      <rgbColor rgb="FF99CC00"/>
      <rgbColor rgb="FFFFCC00"/>
      <rgbColor rgb="FFFF8D21"/>
      <rgbColor rgb="FFD86900"/>
      <rgbColor rgb="FF666699"/>
      <rgbColor rgb="FF969696"/>
      <rgbColor rgb="FF003366"/>
      <rgbColor rgb="FF347466"/>
      <rgbColor rgb="FF003300"/>
      <rgbColor rgb="FF333300"/>
      <rgbColor rgb="FF904600"/>
      <rgbColor rgb="FF993366"/>
      <rgbColor rgb="FF333399"/>
      <rgbColor rgb="FF4D47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82440</xdr:colOff>
      <xdr:row>0</xdr:row>
      <xdr:rowOff>113040</xdr:rowOff>
    </xdr:to>
    <xdr:grpSp>
      <xdr:nvGrpSpPr>
        <xdr:cNvPr id="1" name="Borde de la página"/>
        <xdr:cNvGrpSpPr/>
      </xdr:nvGrpSpPr>
      <xdr:grpSpPr>
        <a:xfrm>
          <a:off x="0" y="0"/>
          <a:ext cx="11307960" cy="113040"/>
          <a:chOff x="0" y="0"/>
          <a:chExt cx="11307960" cy="113040"/>
        </a:xfrm>
      </xdr:grpSpPr>
      <xdr:sp>
        <xdr:nvSpPr>
          <xdr:cNvPr id="2" name="Forma libre 10"/>
          <xdr:cNvSpPr/>
        </xdr:nvSpPr>
        <xdr:spPr>
          <a:xfrm>
            <a:off x="561240" y="0"/>
            <a:ext cx="10746720" cy="113040"/>
          </a:xfrm>
          <a:custGeom>
            <a:avLst/>
            <a:gdLst>
              <a:gd name="textAreaLeft" fmla="*/ 0 w 10746720"/>
              <a:gd name="textAreaRight" fmla="*/ 10747800 w 10746720"/>
              <a:gd name="textAreaTop" fmla="*/ 0 h 113040"/>
              <a:gd name="textAreaBottom" fmla="*/ 114480 h 11304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3" name="Forma libre 11"/>
          <xdr:cNvSpPr/>
        </xdr:nvSpPr>
        <xdr:spPr>
          <a:xfrm>
            <a:off x="0" y="0"/>
            <a:ext cx="10846440" cy="113040"/>
          </a:xfrm>
          <a:custGeom>
            <a:avLst/>
            <a:gdLst>
              <a:gd name="textAreaLeft" fmla="*/ 0 w 10846440"/>
              <a:gd name="textAreaRight" fmla="*/ 10847520 w 10846440"/>
              <a:gd name="textAreaTop" fmla="*/ 0 h 113040"/>
              <a:gd name="textAreaBottom" fmla="*/ 114480 h 11304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4" name="Forma libre 12"/>
          <xdr:cNvSpPr/>
        </xdr:nvSpPr>
        <xdr:spPr>
          <a:xfrm>
            <a:off x="436680" y="0"/>
            <a:ext cx="10534680" cy="113040"/>
          </a:xfrm>
          <a:custGeom>
            <a:avLst/>
            <a:gdLst>
              <a:gd name="textAreaLeft" fmla="*/ 0 w 10534680"/>
              <a:gd name="textAreaRight" fmla="*/ 10535760 w 10534680"/>
              <a:gd name="textAreaTop" fmla="*/ 0 h 113040"/>
              <a:gd name="textAreaBottom" fmla="*/ 114480 h 11304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82440</xdr:colOff>
      <xdr:row>0</xdr:row>
      <xdr:rowOff>113040</xdr:rowOff>
    </xdr:to>
    <xdr:grpSp>
      <xdr:nvGrpSpPr>
        <xdr:cNvPr id="5" name="Borde de la página"/>
        <xdr:cNvGrpSpPr/>
      </xdr:nvGrpSpPr>
      <xdr:grpSpPr>
        <a:xfrm>
          <a:off x="0" y="0"/>
          <a:ext cx="11307960" cy="113040"/>
          <a:chOff x="0" y="0"/>
          <a:chExt cx="11307960" cy="113040"/>
        </a:xfrm>
      </xdr:grpSpPr>
      <xdr:sp>
        <xdr:nvSpPr>
          <xdr:cNvPr id="6" name="Forma libre 10"/>
          <xdr:cNvSpPr/>
        </xdr:nvSpPr>
        <xdr:spPr>
          <a:xfrm>
            <a:off x="561240" y="0"/>
            <a:ext cx="10746720" cy="113040"/>
          </a:xfrm>
          <a:custGeom>
            <a:avLst/>
            <a:gdLst>
              <a:gd name="textAreaLeft" fmla="*/ 0 w 10746720"/>
              <a:gd name="textAreaRight" fmla="*/ 10747800 w 10746720"/>
              <a:gd name="textAreaTop" fmla="*/ 0 h 113040"/>
              <a:gd name="textAreaBottom" fmla="*/ 114480 h 11304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7" name="Forma libre 11"/>
          <xdr:cNvSpPr/>
        </xdr:nvSpPr>
        <xdr:spPr>
          <a:xfrm>
            <a:off x="0" y="0"/>
            <a:ext cx="10846440" cy="113040"/>
          </a:xfrm>
          <a:custGeom>
            <a:avLst/>
            <a:gdLst>
              <a:gd name="textAreaLeft" fmla="*/ 0 w 10846440"/>
              <a:gd name="textAreaRight" fmla="*/ 10847520 w 10846440"/>
              <a:gd name="textAreaTop" fmla="*/ 0 h 113040"/>
              <a:gd name="textAreaBottom" fmla="*/ 114480 h 11304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8" name="Forma libre 12"/>
          <xdr:cNvSpPr/>
        </xdr:nvSpPr>
        <xdr:spPr>
          <a:xfrm>
            <a:off x="436680" y="0"/>
            <a:ext cx="10534680" cy="113040"/>
          </a:xfrm>
          <a:custGeom>
            <a:avLst/>
            <a:gdLst>
              <a:gd name="textAreaLeft" fmla="*/ 0 w 10534680"/>
              <a:gd name="textAreaRight" fmla="*/ 10535760 w 10534680"/>
              <a:gd name="textAreaTop" fmla="*/ 0 h 113040"/>
              <a:gd name="textAreaBottom" fmla="*/ 114480 h 11304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tables/table1.xml><?xml version="1.0" encoding="utf-8"?>
<table xmlns="http://schemas.openxmlformats.org/spreadsheetml/2006/main" id="1" name="Destinatarios" displayName="Destinatarios" ref="B4:E11" headerRowCount="1" totalsRowCount="0" totalsRowShown="0">
  <autoFilter ref="B4:E11"/>
  <tableColumns count="4">
    <tableColumn id="1" name="Sprint"/>
    <tableColumn id="2" name="Trabajo inicial"/>
    <tableColumn id="3" name="Trabajo restante actual"/>
    <tableColumn id="4" name="Trabajo restante ideal"/>
  </tableColumns>
</table>
</file>

<file path=xl/tables/table2.xml><?xml version="1.0" encoding="utf-8"?>
<table xmlns="http://schemas.openxmlformats.org/spreadsheetml/2006/main" id="2" name="Regalos" displayName="Regalos" ref="B2:F9" headerRowCount="1" totalsRowCount="0" totalsRowShown="0">
  <autoFilter ref="B2:F9"/>
  <tableColumns count="5">
    <tableColumn id="1" name="DESTINATARIO"/>
    <tableColumn id="2" name="REGALO"/>
    <tableColumn id="3" name="COSTE"/>
    <tableColumn id="4" name="COMPRADO"/>
    <tableColumn id="5" name="ENVUELTO" totalsRowFunction="count"/>
  </tableColumns>
</table>
</file>

<file path=xl/theme/theme1.xml><?xml version="1.0" encoding="utf-8"?>
<a:theme xmlns:a="http://schemas.openxmlformats.org/drawingml/2006/main" xmlns:r="http://schemas.openxmlformats.org/officeDocument/2006/relationships" name="Office Theme">
  <a:themeElements>
    <a:clrScheme name="131_holiday_shopping_list_with_budget">
      <a:dk1>
        <a:srgbClr val="000000"/>
      </a:dk1>
      <a:lt1>
        <a:srgbClr val="ffffff"/>
      </a:lt1>
      <a:dk2>
        <a:srgbClr val="4d4741"/>
      </a:dk2>
      <a:lt2>
        <a:srgbClr val="ffffff"/>
      </a:lt2>
      <a:accent1>
        <a:srgbClr val="87c9ba"/>
      </a:accent1>
      <a:accent2>
        <a:srgbClr val="ff8d21"/>
      </a:accent2>
      <a:accent3>
        <a:srgbClr val="f3c743"/>
      </a:accent3>
      <a:accent4>
        <a:srgbClr val="6daccf"/>
      </a:accent4>
      <a:accent5>
        <a:srgbClr val="d76159"/>
      </a:accent5>
      <a:accent6>
        <a:srgbClr val="927caf"/>
      </a:accent6>
      <a:hlink>
        <a:srgbClr val="6daccf"/>
      </a:hlink>
      <a:folHlink>
        <a:srgbClr val="927caf"/>
      </a:folHlink>
    </a:clrScheme>
    <a:fontScheme name="131_holiday_shopping_list_with_budget">
      <a:majorFont>
        <a:latin typeface="Calibri" pitchFamily="0" charset="1"/>
        <a:ea typeface=""/>
        <a:cs typeface=""/>
      </a:majorFont>
      <a:minorFont>
        <a:latin typeface="Georgia"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7C9BA"/>
    <pageSetUpPr fitToPage="true"/>
  </sheetPr>
  <dimension ref="A1:F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F4" activeCellId="0" sqref="F4"/>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6" min="4" style="1" width="25.66"/>
    <col collapsed="false" customWidth="true" hidden="false" outlineLevel="0" max="7" min="7" style="1" width="2.78"/>
  </cols>
  <sheetData>
    <row r="1" customFormat="false" ht="49.5" hidden="false" customHeight="true" outlineLevel="0" collapsed="false">
      <c r="B1" s="2" t="s">
        <v>0</v>
      </c>
      <c r="C1" s="3" t="s">
        <v>1</v>
      </c>
      <c r="D1" s="3"/>
      <c r="E1" s="4" t="s">
        <v>2</v>
      </c>
      <c r="F1" s="5" t="s">
        <v>3</v>
      </c>
    </row>
    <row r="2" customFormat="false" ht="21" hidden="false" customHeight="true" outlineLevel="0" collapsed="false">
      <c r="A2" s="6"/>
      <c r="B2" s="2"/>
      <c r="C2" s="3"/>
      <c r="D2" s="3"/>
      <c r="E2" s="4" t="s">
        <v>4</v>
      </c>
      <c r="F2" s="5" t="s">
        <v>5</v>
      </c>
    </row>
    <row r="3" customFormat="false" ht="30" hidden="false" customHeight="true" outlineLevel="0" collapsed="false">
      <c r="B3" s="7" t="s">
        <v>6</v>
      </c>
      <c r="C3" s="8"/>
      <c r="D3" s="9"/>
      <c r="E3" s="10" t="s">
        <v>7</v>
      </c>
      <c r="F3" s="11" t="n">
        <v>46129</v>
      </c>
    </row>
    <row r="4" customFormat="false" ht="30" hidden="false" customHeight="true" outlineLevel="0" collapsed="false">
      <c r="B4" s="12" t="s">
        <v>8</v>
      </c>
      <c r="C4" s="12" t="s">
        <v>9</v>
      </c>
      <c r="D4" s="12" t="s">
        <v>10</v>
      </c>
      <c r="E4" s="12" t="s">
        <v>11</v>
      </c>
    </row>
    <row r="5" customFormat="false" ht="30" hidden="false" customHeight="true" outlineLevel="0" collapsed="false">
      <c r="B5" s="13" t="s">
        <v>12</v>
      </c>
      <c r="C5" s="14" t="n">
        <f aca="false">3+5+3+5+5+3+3+5+5+3+2+5+3+5+3+5+3+3+5+3+3+3+8+8+8+5+5+8+8+8+3+5+5+3+5+3+5+3+3+5+3+5+2+8+3+5+3+3+5+5+5+3+5+5+8+5+8+3+5+3+3+8+3</f>
        <v>287</v>
      </c>
      <c r="D5" s="15" t="n">
        <v>287</v>
      </c>
      <c r="E5" s="16" t="n">
        <v>287</v>
      </c>
    </row>
    <row r="6" customFormat="false" ht="30" hidden="false" customHeight="true" outlineLevel="0" collapsed="false">
      <c r="B6" s="13" t="s">
        <v>13</v>
      </c>
      <c r="C6" s="14" t="n">
        <v>287</v>
      </c>
      <c r="D6" s="15" t="n">
        <f aca="false">287-3--5-3-5-8-8</f>
        <v>265</v>
      </c>
      <c r="E6" s="16" t="n">
        <v>265</v>
      </c>
    </row>
    <row r="7" customFormat="false" ht="30" hidden="false" customHeight="true" outlineLevel="0" collapsed="false">
      <c r="B7" s="13" t="s">
        <v>14</v>
      </c>
      <c r="C7" s="14" t="n">
        <f aca="false">E6</f>
        <v>265</v>
      </c>
      <c r="D7" s="15" t="n">
        <f aca="false">C7-5-5-5-3-8-5-5-5</f>
        <v>224</v>
      </c>
      <c r="E7" s="16" t="n">
        <v>224</v>
      </c>
    </row>
    <row r="8" customFormat="false" ht="30" hidden="false" customHeight="true" outlineLevel="0" collapsed="false">
      <c r="B8" s="13" t="s">
        <v>6</v>
      </c>
      <c r="C8" s="14" t="n">
        <f aca="false">E7</f>
        <v>224</v>
      </c>
      <c r="D8" s="15" t="n">
        <f aca="false">C8-5-3-5-3-5-3-3</f>
        <v>197</v>
      </c>
      <c r="E8" s="16" t="n">
        <v>197</v>
      </c>
    </row>
    <row r="9" customFormat="false" ht="30" hidden="false" customHeight="true" outlineLevel="0" collapsed="false">
      <c r="B9" s="13" t="s">
        <v>15</v>
      </c>
      <c r="C9" s="14" t="n">
        <f aca="false">E8</f>
        <v>197</v>
      </c>
      <c r="D9" s="15" t="n">
        <f aca="false">C9-C9</f>
        <v>0</v>
      </c>
      <c r="E9" s="16"/>
    </row>
    <row r="10" customFormat="false" ht="30" hidden="false" customHeight="true" outlineLevel="0" collapsed="false">
      <c r="B10" s="13" t="s">
        <v>16</v>
      </c>
      <c r="C10" s="14" t="n">
        <f aca="false">E9</f>
        <v>0</v>
      </c>
      <c r="D10" s="17" t="n">
        <f aca="false">C10</f>
        <v>0</v>
      </c>
      <c r="E10" s="16"/>
    </row>
    <row r="11" customFormat="false" ht="30" hidden="false" customHeight="true" outlineLevel="0" collapsed="false">
      <c r="B11" s="13" t="s">
        <v>17</v>
      </c>
      <c r="C11" s="14" t="n">
        <f aca="false">E10</f>
        <v>0</v>
      </c>
      <c r="D11" s="17" t="n">
        <f aca="false">C11</f>
        <v>0</v>
      </c>
      <c r="E11" s="16"/>
    </row>
  </sheetData>
  <mergeCells count="2">
    <mergeCell ref="B1:B2"/>
    <mergeCell ref="C1:D2"/>
  </mergeCells>
  <dataValidations count="12">
    <dataValidation allowBlank="true" errorStyle="stop" operator="between" prompt="Cree una lista de regalos para las fiestas en este libro de trabajo. Controle sus gastos y las compras de regalos restantes en esta hoja de trabajo y los regalos específicos para los destinatarios en la hoja de trabajo de la lista de regalos" showDropDown="false" showErrorMessage="true" showInputMessage="true" sqref="A1" type="none">
      <formula1>0</formula1>
      <formula2>0</formula2>
    </dataValidation>
    <dataValidation allowBlank="true" errorStyle="stop" operator="between" prompt="Escriba el nombre del destinatario del regalo en esta columna debajo de este encabezado. Use filtros de encabezado para buscar entradas específicas. Esta lista se usa para seleccionar destinatarios en la hoja de cálculo Lista de regalo" showDropDown="false" showErrorMessage="true" showInputMessage="true" sqref="B4" type="none">
      <formula1>0</formula1>
      <formula2>0</formula2>
    </dataValidation>
    <dataValidation allowBlank="true" errorStyle="stop" operator="between" prompt="Escriba el porcentaje planeado del presupuesto en esta columna bajo este encabezado. El porcentaje total del presupuesto planeado está al final de esta columna" showDropDown="false" showErrorMessage="true" showInputMessage="true" sqref="C4" type="none">
      <formula1>0</formula1>
      <formula2>0</formula2>
    </dataValidation>
    <dataValidation allowBlank="true" errorStyle="stop" operator="between" prompt="El total acumulado del dinero presupuestado asignado restante por destinatario en función de los costes de los regalos de la hoja de cálculo Lista de regalos se calcula automáticamente en la columna con este encabezado." showDropDown="false" showErrorMessage="true" showInputMessage="true" sqref="D4" type="none">
      <formula1>0</formula1>
      <formula2>0</formula2>
    </dataValidation>
    <dataValidation allowBlank="true" errorStyle="stop" operator="between" prompt="Indique el número planeado de regalos para cada persona en la columna Para de la columna con este encabezado." showDropDown="false" showErrorMessage="true" showInputMessage="true" sqref="E4" type="none">
      <formula1>0</formula1>
      <formula2>0</formula2>
    </dataValidation>
    <dataValidation allowBlank="true" errorStyle="stop" operator="between" prompt="Escriba el presupuesto total en la celda de la derecha." showDropDown="false" showErrorMessage="true" showInputMessage="true" sqref="E1" type="none">
      <formula1>0</formula1>
      <formula2>0</formula2>
    </dataValidation>
    <dataValidation allowBlank="true" errorStyle="stop" operator="between" prompt="Escriba el presupuesto total en esta celda." showDropDown="false" showErrorMessage="true" showInputMessage="true" sqref="F1" type="none">
      <formula1>0</formula1>
      <formula2>0</formula2>
    </dataValidation>
    <dataValidation allowBlank="true" errorStyle="stop" operator="between" prompt="El importe gastado se calcula automáticamente en la celda de la derecha." showDropDown="false" showErrorMessage="true" showInputMessage="true" sqref="E2" type="none">
      <formula1>0</formula1>
      <formula2>0</formula2>
    </dataValidation>
    <dataValidation allowBlank="true" errorStyle="stop" operator="between" prompt="El importe gastado se calcula automáticamente en esta celda." showDropDown="false" showErrorMessage="true" showInputMessage="true" sqref="F2" type="none">
      <formula1>0</formula1>
      <formula2>0</formula2>
    </dataValidation>
    <dataValidation allowBlank="true" errorStyle="stop" operator="between" prompt="El título de esta hoja de cálculo está en esta celda y celda C1. Escriba el presupuesto total en la celda F1. Invertida y Las cantidades restantes se calculan automáticamente en las celdas F2 y F3 " showDropDown="false" showErrorMessage="true" showInputMessage="true" sqref="B1:B2" type="none">
      <formula1>0</formula1>
      <formula2>0</formula2>
    </dataValidation>
    <dataValidation allowBlank="true" error="Seleccione Sí o No de la lista. Seleccione CANCELAR, presione ALT+FLECHA ABAJO para ver las opciones y, después, use la tecla de FLECHA ABAJO y ENTRAR para realizar una selección." errorStyle="warning" operator="between" prompt="Selecciona Sí para ajustar automáticamente el presupuesto de regalo cuando el porcentaje del presupuesto planeado supere el 100 %. Seleccione No para superar potencialmente el presupuesto total" showDropDown="false" showErrorMessage="true" showInputMessage="true" sqref="D3" type="list">
      <formula1>"Sí,No"</formula1>
      <formula2>0</formula2>
    </dataValidation>
    <dataValidation allowBlank="true" errorStyle="stop" operator="between" prompt="Seleccione Sí en la celda derecha para ajustar automáticamente el presupuesto de regalo por destinatario cuando % de presupuesto planeado sea &gt; 100%. Seleccione No para permitir que la suma del presupuesto por destinatario supere el presupuesto total" showDropDown="false" showErrorMessage="true" showInputMessage="true" sqref="B3:C3" type="none">
      <formula1>0</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D21"/>
    <pageSetUpPr fitToPage="true"/>
  </sheetPr>
  <dimension ref="B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6" min="4" style="1" width="25.66"/>
    <col collapsed="false" customWidth="true" hidden="false" outlineLevel="0" max="7" min="7" style="1" width="2.78"/>
  </cols>
  <sheetData>
    <row r="1" customFormat="false" ht="90.75" hidden="false" customHeight="true" outlineLevel="0" collapsed="false">
      <c r="B1" s="18" t="s">
        <v>18</v>
      </c>
      <c r="C1" s="19" t="s">
        <v>19</v>
      </c>
    </row>
    <row r="2" customFormat="false" ht="30" hidden="false" customHeight="true" outlineLevel="0" collapsed="false">
      <c r="B2" s="8" t="s">
        <v>20</v>
      </c>
      <c r="C2" s="8" t="s">
        <v>21</v>
      </c>
      <c r="D2" s="8" t="s">
        <v>22</v>
      </c>
      <c r="E2" s="8" t="s">
        <v>23</v>
      </c>
      <c r="F2" s="8" t="s">
        <v>24</v>
      </c>
    </row>
    <row r="3" customFormat="false" ht="30" hidden="false" customHeight="true" outlineLevel="0" collapsed="false">
      <c r="B3" s="20" t="s">
        <v>25</v>
      </c>
      <c r="C3" s="20" t="s">
        <v>26</v>
      </c>
      <c r="D3" s="21" t="n">
        <v>36</v>
      </c>
      <c r="E3" s="22" t="s">
        <v>27</v>
      </c>
      <c r="F3" s="22" t="s">
        <v>27</v>
      </c>
    </row>
    <row r="4" customFormat="false" ht="30" hidden="false" customHeight="true" outlineLevel="0" collapsed="false">
      <c r="B4" s="20" t="s">
        <v>28</v>
      </c>
      <c r="C4" s="20" t="s">
        <v>29</v>
      </c>
      <c r="D4" s="21" t="n">
        <v>89</v>
      </c>
      <c r="E4" s="22" t="s">
        <v>27</v>
      </c>
      <c r="F4" s="22"/>
    </row>
    <row r="5" customFormat="false" ht="30" hidden="false" customHeight="true" outlineLevel="0" collapsed="false">
      <c r="B5" s="20" t="s">
        <v>30</v>
      </c>
      <c r="C5" s="20" t="s">
        <v>31</v>
      </c>
      <c r="D5" s="21" t="n">
        <v>51</v>
      </c>
      <c r="E5" s="22" t="s">
        <v>27</v>
      </c>
      <c r="F5" s="22" t="s">
        <v>27</v>
      </c>
    </row>
    <row r="6" customFormat="false" ht="30" hidden="false" customHeight="true" outlineLevel="0" collapsed="false">
      <c r="B6" s="20" t="s">
        <v>32</v>
      </c>
      <c r="C6" s="20" t="s">
        <v>33</v>
      </c>
      <c r="D6" s="21" t="n">
        <v>48</v>
      </c>
      <c r="E6" s="22"/>
      <c r="F6" s="22"/>
    </row>
    <row r="7" customFormat="false" ht="30" hidden="false" customHeight="true" outlineLevel="0" collapsed="false">
      <c r="B7" s="20" t="s">
        <v>32</v>
      </c>
      <c r="C7" s="20" t="s">
        <v>34</v>
      </c>
      <c r="D7" s="21" t="n">
        <v>57</v>
      </c>
      <c r="E7" s="22" t="s">
        <v>27</v>
      </c>
      <c r="F7" s="22"/>
    </row>
    <row r="8" customFormat="false" ht="30" hidden="false" customHeight="true" outlineLevel="0" collapsed="false">
      <c r="B8" s="20" t="s">
        <v>35</v>
      </c>
      <c r="C8" s="20" t="s">
        <v>36</v>
      </c>
      <c r="D8" s="21" t="n">
        <v>50</v>
      </c>
      <c r="E8" s="22" t="s">
        <v>27</v>
      </c>
      <c r="F8" s="22" t="s">
        <v>27</v>
      </c>
    </row>
    <row r="9" customFormat="false" ht="30" hidden="false" customHeight="true" outlineLevel="0" collapsed="false">
      <c r="B9" s="20" t="s">
        <v>25</v>
      </c>
      <c r="C9" s="20" t="s">
        <v>37</v>
      </c>
      <c r="D9" s="21" t="n">
        <v>60</v>
      </c>
      <c r="E9" s="22"/>
      <c r="F9" s="22"/>
    </row>
  </sheetData>
  <conditionalFormatting sqref="B3:F9">
    <cfRule type="expression" priority="2" aboveAverage="0" equalAverage="0" bottom="0" percent="0" rank="0" text="" dxfId="4">
      <formula>($E3="sí")*($F3="sí")</formula>
    </cfRule>
  </conditionalFormatting>
  <dataValidations count="10">
    <dataValidation allowBlank="true" errorStyle="stop" operator="between" prompt="Crear una lista de regalo en esta hoja de cálculo. Escriba los detalles en la tabla Regalos. Cuando el regalo se marca como Comprado y Ajustado, la fila de la tabla se actualiza automáticamente con formato de tachado" showDropDown="false" showErrorMessage="true" showInputMessage="true" sqref="A1" type="none">
      <formula1>0</formula1>
      <formula2>0</formula2>
    </dataValidation>
    <dataValidation allowBlank="true" errorStyle="stop" operator="between" prompt="Seleccione Destinatario en esta columna, debajo de este encabezado. Presione ALT+FLECHA ABAJO para las opciones y, después, la FLECHA ABAJO y ENTER para realizar la selección. Use filtros de encabezado para buscar entradas concretas." showDropDown="false" showErrorMessage="true" showInputMessage="true" sqref="B2" type="none">
      <formula1>0</formula1>
      <formula2>0</formula2>
    </dataValidation>
    <dataValidation allowBlank="true" errorStyle="stop" operator="between" prompt="Escriba el regalo en la columna con este encabezado." showDropDown="false" showErrorMessage="true" showInputMessage="true" sqref="C2" type="none">
      <formula1>0</formula1>
      <formula2>0</formula2>
    </dataValidation>
    <dataValidation allowBlank="true" errorStyle="stop" operator="between" prompt="Escriba el precio en la columna con este encabezado." showDropDown="false" showErrorMessage="true" showInputMessage="true" sqref="D2" type="none">
      <formula1>0</formula1>
      <formula2>0</formula2>
    </dataValidation>
    <dataValidation allowBlank="true" errorStyle="stop" operator="between" prompt="Selecciona Sí en la lista de esta columna, debajo de este encabezado, cuando se compre el regalo. Presione ALT+FLECHA ABAJO para ver las opciones y, a continuación, ENTER para realizar la selección" showDropDown="false" showErrorMessage="true" showInputMessage="true" sqref="E2" type="none">
      <formula1>0</formula1>
      <formula2>0</formula2>
    </dataValidation>
    <dataValidation allowBlank="true" errorStyle="stop" operator="between" prompt="Selecciona Sí en la lista de esta columna, debajo de este encabezado, cuando se haya ajustado el regalo. Presione ALT+FLECHA ABAJO para ver las opciones y, a continuación, ENTER para realizar la selección" showDropDown="false" showErrorMessage="true" showInputMessage="true" sqref="F2" type="none">
      <formula1>0</formula1>
      <formula2>0</formula2>
    </dataValidation>
    <dataValidation allowBlank="true" errorStyle="stop" operator="between" prompt="El título de la hoja de cálculo se encuentra en esta celda y la celda C1." showDropDown="false" showErrorMessage="true" showInputMessage="true" sqref="B1" type="none">
      <formula1>0</formula1>
      <formula2>0</formula2>
    </dataValidation>
    <dataValidation allowBlank="true" error="Selecciona Sí en la lista cuando se ajuste el regalo. Seleccione CANCELAR, presione ALT+FLECHA ABAJO para ver las opciones y, a continuación, ENTER para realizar la selección." errorStyle="warning" operator="between" showDropDown="false" showErrorMessage="true" showInputMessage="true" sqref="F3:F9" type="list">
      <formula1>"Sí"</formula1>
      <formula2>0</formula2>
    </dataValidation>
    <dataValidation allowBlank="true" error="Selecciona Sí en la lista cuando se haya comprado el regalo. Seleccione CANCELAR, presione ALT+FLECHA ABAJO para ver las opciones y, a continuación, ENTRAR para realizar la selección." errorStyle="warning" operator="between" showDropDown="false" showErrorMessage="true" showInputMessage="true" sqref="E3:E9" type="list">
      <formula1>"Sí"</formula1>
      <formula2>0</formula2>
    </dataValidation>
    <dataValidation allowBlank="true" error="Seleccione Destinatario en la lista. Seleccione CANCELAR, presione ALT+FLECHA ABAJO para ver las opciones y después use la tecla de FLECHA ABAJO y ENTRAR para realizar una selección." errorStyle="warning" operator="between" showDropDown="false" showErrorMessage="true" showInputMessage="true" sqref="B3:B9" type="list">
      <formula1>NombresDeDestinatarios</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00E79F-D25A-43F5-B814-6C24A1A8AC80}"/>
</file>

<file path=customXml/itemProps2.xml><?xml version="1.0" encoding="utf-8"?>
<ds:datastoreItem xmlns:ds="http://schemas.openxmlformats.org/officeDocument/2006/customXml" ds:itemID="{A82DD4E5-48AF-42F1-94BF-1B52AC75B62B}"/>
</file>

<file path=customXml/itemProps3.xml><?xml version="1.0" encoding="utf-8"?>
<ds:datastoreItem xmlns:ds="http://schemas.openxmlformats.org/officeDocument/2006/customXml" ds:itemID="{A616AF73-4819-47CD-9B61-4A1F67D5DB79}"/>
</file>

<file path=docProps/app.xml><?xml version="1.0" encoding="utf-8"?>
<Properties xmlns="http://schemas.openxmlformats.org/officeDocument/2006/extended-properties" xmlns:vt="http://schemas.openxmlformats.org/officeDocument/2006/docPropsVTypes">
  <Template>TM03427498</Template>
  <TotalTime>20</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2026-05-24T20:20:59Z</dcterms:created>
  <dc:creator/>
  <dc:description/>
  <dc:language>es-MX</dc:language>
  <cp:lastModifiedBy/>
  <dcterms:modified xsi:type="dcterms:W3CDTF">2026-05-24T15:09:30Z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