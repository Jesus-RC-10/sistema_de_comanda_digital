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#REF!</definedName>
    <definedName function="false" hidden="false" name="Dinero_Asignado_Restante" vbProcedure="false">IF(Destinatarios[[#Totals],[Días]]=1,PresupuestoTotal*Resumen!XFD1,IF(Destinatarios[[#Totals],[Días]]&gt;1,(PresupuestoTotal/Destinatarios[[#Totals],[Días]])*Resumen!XFD1,PresupuestoTotal*Resumen!XFD1))</definedName>
    <definedName function="false" hidden="false" name="NombresDeDestinatarios" vbProcedure="false">Destinatarios[Historia]</definedName>
    <definedName function="false" hidden="false" name="PresupuestoTotal" vbProcedure="false">Resumen!$D$1</definedName>
    <definedName function="false" hidden="false" name="RESTANTES" vbProcedure="false">resumen!#ref!</definedName>
    <definedName function="false" hidden="false" name="Título1" vbProcedure="false">Destinatarios[[#Headers],[Historia]]</definedName>
    <definedName function="false" hidden="false" name="Título2" vbProcedure="false">Regalos[[#Headers],[DESTINATARIO]]</definedName>
    <definedName function="false" hidden="false" name="TítuloDeFilaRegión1..F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<sst xmlns="http://schemas.openxmlformats.org/spreadsheetml/2006/main" count="48" uniqueCount="38">
  <si>
    <t xml:space="preserve">Cycle time</t>
  </si>
  <si>
    <t xml:space="preserve">Sistema de comanda digital</t>
  </si>
  <si>
    <t xml:space="preserve">ENCARGADO: Jorge Edmundo Osornio Tapia</t>
  </si>
  <si>
    <t xml:space="preserve">SUPERVISOR: Guadalupe Yosabeth Peres Estrada </t>
  </si>
  <si>
    <t xml:space="preserve">Sprint 4</t>
  </si>
  <si>
    <t xml:space="preserve">Historia</t>
  </si>
  <si>
    <t xml:space="preserve">Días</t>
  </si>
  <si>
    <t xml:space="preserve">CAJA-001</t>
  </si>
  <si>
    <t xml:space="preserve">CCAJA-002</t>
  </si>
  <si>
    <t xml:space="preserve">CAJA-003</t>
  </si>
  <si>
    <t xml:space="preserve">CAJA-004</t>
  </si>
  <si>
    <t xml:space="preserve">CAJA-005</t>
  </si>
  <si>
    <t xml:space="preserve">CAJA-006</t>
  </si>
  <si>
    <t xml:space="preserve">MES-001</t>
  </si>
  <si>
    <t xml:space="preserve">COC-003</t>
  </si>
  <si>
    <t xml:space="preserve">Cycle time promedio</t>
  </si>
  <si>
    <t xml:space="preserve">Se seleccionó la métrica Cycle Time porque permite medir el tiempo real que tarda una Historia de Usuario en completarse una vez que inicia su desarrollo. Esta métrica ayuda a evaluar la eficiencia del proceso de trabajo, identificar cuellos de botella y estimar con mayor precisión la duración de futuras actividades.</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</si>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</sst>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4">
    <numFmt numFmtId="164" formatCode="General"/>
    <numFmt numFmtId="165" formatCode="#,##0.00&quot; €&quot;"/>
    <numFmt numFmtId="166" formatCode="dd/mm/yy"/>
    <numFmt numFmtId="167"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Adwaita Sans"/>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18">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5" fontId="8" fillId="0" borderId="1" xfId="25"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6" applyFont="true" applyBorder="true" applyAlignment="true" applyProtection="true">
      <alignment horizontal="left" vertical="center" textRotation="0" wrapText="false" indent="1" shrinkToFit="false"/>
      <protection locked="true" hidden="false"/>
    </xf>
    <xf numFmtId="164" fontId="10" fillId="0" borderId="0" xfId="26" applyFont="true" applyBorder="true" applyAlignment="true" applyProtection="true">
      <alignment horizontal="left" vertical="center" textRotation="0" wrapText="false" indent="1"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7" fontId="4" fillId="0" borderId="2" xfId="22"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Input" xfId="25"/>
    <cellStyle name="Excel Built-in Heading 3" xfId="26"/>
  </cellStyles>
  <dxfs count="5">
    <dxf>
      <fill>
        <patternFill patternType="solid">
          <bgColor rgb="FF000000"/>
        </patternFill>
      </fill>
    </dxf>
    <dxf>
      <fill>
        <patternFill patternType="solid">
          <fgColor rgb="FF904600"/>
          <bgColor rgb="FF000000"/>
        </patternFill>
      </fill>
    </dxf>
    <dxf>
      <fill>
        <patternFill patternType="solid">
          <fgColor rgb="FF4D4741"/>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63360</xdr:colOff>
      <xdr:row>0</xdr:row>
      <xdr:rowOff>111600</xdr:rowOff>
    </xdr:to>
    <xdr:grpSp>
      <xdr:nvGrpSpPr>
        <xdr:cNvPr id="1" name="Borde de la página"/>
        <xdr:cNvGrpSpPr/>
      </xdr:nvGrpSpPr>
      <xdr:grpSpPr>
        <a:xfrm>
          <a:off x="0" y="0"/>
          <a:ext cx="11306160" cy="111600"/>
          <a:chOff x="0" y="0"/>
          <a:chExt cx="11306160" cy="111600"/>
        </a:xfrm>
      </xdr:grpSpPr>
      <xdr:sp>
        <xdr:nvSpPr>
          <xdr:cNvPr id="2" name="Forma libre 10"/>
          <xdr:cNvSpPr/>
        </xdr:nvSpPr>
        <xdr:spPr>
          <a:xfrm>
            <a:off x="561240" y="0"/>
            <a:ext cx="10744920" cy="111600"/>
          </a:xfrm>
          <a:custGeom>
            <a:avLst/>
            <a:gdLst>
              <a:gd name="textAreaLeft" fmla="*/ 0 w 10744920"/>
              <a:gd name="textAreaRight" fmla="*/ 10747080 w 10744920"/>
              <a:gd name="textAreaTop" fmla="*/ 0 h 111600"/>
              <a:gd name="textAreaBottom" fmla="*/ 114480 h 1116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4640" cy="111600"/>
          </a:xfrm>
          <a:custGeom>
            <a:avLst/>
            <a:gdLst>
              <a:gd name="textAreaLeft" fmla="*/ 0 w 10844640"/>
              <a:gd name="textAreaRight" fmla="*/ 10846800 w 10844640"/>
              <a:gd name="textAreaTop" fmla="*/ 0 h 111600"/>
              <a:gd name="textAreaBottom" fmla="*/ 114480 h 1116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2880" cy="111600"/>
          </a:xfrm>
          <a:custGeom>
            <a:avLst/>
            <a:gdLst>
              <a:gd name="textAreaLeft" fmla="*/ 0 w 10532880"/>
              <a:gd name="textAreaRight" fmla="*/ 10535040 w 10532880"/>
              <a:gd name="textAreaTop" fmla="*/ 0 h 111600"/>
              <a:gd name="textAreaBottom" fmla="*/ 114480 h 1116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81000</xdr:colOff>
      <xdr:row>0</xdr:row>
      <xdr:rowOff>111600</xdr:rowOff>
    </xdr:to>
    <xdr:grpSp>
      <xdr:nvGrpSpPr>
        <xdr:cNvPr id="5" name="Borde de la página"/>
        <xdr:cNvGrpSpPr/>
      </xdr:nvGrpSpPr>
      <xdr:grpSpPr>
        <a:xfrm>
          <a:off x="0" y="0"/>
          <a:ext cx="11306520" cy="111600"/>
          <a:chOff x="0" y="0"/>
          <a:chExt cx="11306520" cy="111600"/>
        </a:xfrm>
      </xdr:grpSpPr>
      <xdr:sp>
        <xdr:nvSpPr>
          <xdr:cNvPr id="6" name="Forma libre 10"/>
          <xdr:cNvSpPr/>
        </xdr:nvSpPr>
        <xdr:spPr>
          <a:xfrm>
            <a:off x="561240" y="0"/>
            <a:ext cx="10745280" cy="111600"/>
          </a:xfrm>
          <a:custGeom>
            <a:avLst/>
            <a:gdLst>
              <a:gd name="textAreaLeft" fmla="*/ 0 w 10745280"/>
              <a:gd name="textAreaRight" fmla="*/ 10747800 w 10745280"/>
              <a:gd name="textAreaTop" fmla="*/ 0 h 111600"/>
              <a:gd name="textAreaBottom" fmla="*/ 114480 h 1116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000" cy="111600"/>
          </a:xfrm>
          <a:custGeom>
            <a:avLst/>
            <a:gdLst>
              <a:gd name="textAreaLeft" fmla="*/ 0 w 10845000"/>
              <a:gd name="textAreaRight" fmla="*/ 10847520 w 10845000"/>
              <a:gd name="textAreaTop" fmla="*/ 0 h 111600"/>
              <a:gd name="textAreaBottom" fmla="*/ 114480 h 1116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240" cy="111600"/>
          </a:xfrm>
          <a:custGeom>
            <a:avLst/>
            <a:gdLst>
              <a:gd name="textAreaLeft" fmla="*/ 0 w 10533240"/>
              <a:gd name="textAreaRight" fmla="*/ 10535760 w 10533240"/>
              <a:gd name="textAreaTop" fmla="*/ 0 h 111600"/>
              <a:gd name="textAreaBottom" fmla="*/ 114480 h 1116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C13" headerRowCount="1" totalsRowCount="0" totalsRowShown="0">
  <autoFilter ref="B4:C13"/>
  <tableColumns count="2">
    <tableColumn id="1" name="Historia"/>
    <tableColumn id="2" name="Días"/>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3" activeCellId="0" sqref="D3"/>
    </sheetView>
  </sheetViews>
  <sheetFormatPr defaultColWidth="8.890625" defaultRowHeight="30" customHeight="true" zeroHeight="false" outlineLevelRow="0" outlineLevelCol="0"/>
  <cols>
    <col collapsed="false" customWidth="true" hidden="false" outlineLevel="0" max="1" min="1" style="1" width="1.22"/>
    <col collapsed="false" customWidth="true" hidden="false" outlineLevel="0" max="2" min="2" style="1" width="25.86"/>
    <col collapsed="false" customWidth="true" hidden="false" outlineLevel="0" max="3" min="3" style="1" width="55.8"/>
    <col collapsed="false" customWidth="true" hidden="false" outlineLevel="0" max="4" min="4" style="1" width="25.66"/>
    <col collapsed="false" customWidth="true" hidden="false" outlineLevel="0" max="5" min="5" style="1" width="14.2"/>
    <col collapsed="false" customWidth="true" hidden="false" outlineLevel="0" max="16384" min="16383" style="1" width="10.16"/>
  </cols>
  <sheetData>
    <row r="1" customFormat="false" ht="64.15" hidden="false" customHeight="true" outlineLevel="0" collapsed="false">
      <c r="B1" s="2" t="s">
        <v>0</v>
      </c>
      <c r="C1" s="3" t="s">
        <v>1</v>
      </c>
      <c r="D1" s="4" t="s">
        <v>2</v>
      </c>
    </row>
    <row r="2" customFormat="false" ht="21" hidden="false" customHeight="true" outlineLevel="0" collapsed="false">
      <c r="A2" s="5"/>
      <c r="B2" s="2"/>
      <c r="C2" s="3"/>
      <c r="D2" s="4" t="s">
        <v>3</v>
      </c>
    </row>
    <row r="3" customFormat="false" ht="30" hidden="false" customHeight="true" outlineLevel="0" collapsed="false">
      <c r="B3" s="6" t="s">
        <v>4</v>
      </c>
      <c r="C3" s="7"/>
      <c r="D3" s="8" t="n">
        <v>46129</v>
      </c>
    </row>
    <row r="4" customFormat="false" ht="30" hidden="false" customHeight="true" outlineLevel="0" collapsed="false">
      <c r="B4" s="9" t="s">
        <v>5</v>
      </c>
      <c r="C4" s="9" t="s">
        <v>6</v>
      </c>
    </row>
    <row r="5" customFormat="false" ht="30" hidden="false" customHeight="true" outlineLevel="0" collapsed="false">
      <c r="B5" s="9" t="s">
        <v>7</v>
      </c>
      <c r="C5" s="9" t="n">
        <v>4</v>
      </c>
    </row>
    <row r="6" customFormat="false" ht="30" hidden="false" customHeight="true" outlineLevel="0" collapsed="false">
      <c r="B6" s="9" t="s">
        <v>8</v>
      </c>
      <c r="C6" s="9" t="n">
        <v>2</v>
      </c>
    </row>
    <row r="7" customFormat="false" ht="30" hidden="false" customHeight="true" outlineLevel="0" collapsed="false">
      <c r="B7" s="9" t="s">
        <v>9</v>
      </c>
      <c r="C7" s="9" t="n">
        <v>4</v>
      </c>
      <c r="H7" s="10"/>
    </row>
    <row r="8" customFormat="false" ht="30" hidden="false" customHeight="true" outlineLevel="0" collapsed="false">
      <c r="B8" s="9" t="s">
        <v>10</v>
      </c>
      <c r="C8" s="9" t="n">
        <v>3</v>
      </c>
    </row>
    <row r="9" customFormat="false" ht="30" hidden="false" customHeight="true" outlineLevel="0" collapsed="false">
      <c r="B9" s="9" t="s">
        <v>11</v>
      </c>
      <c r="C9" s="9" t="n">
        <v>3</v>
      </c>
    </row>
    <row r="10" customFormat="false" ht="30" hidden="false" customHeight="true" outlineLevel="0" collapsed="false">
      <c r="B10" s="9" t="s">
        <v>12</v>
      </c>
      <c r="C10" s="9" t="n">
        <v>2</v>
      </c>
    </row>
    <row r="11" customFormat="false" ht="30" hidden="false" customHeight="true" outlineLevel="0" collapsed="false">
      <c r="B11" s="9" t="s">
        <v>13</v>
      </c>
      <c r="C11" s="9" t="n">
        <v>2</v>
      </c>
    </row>
    <row r="12" customFormat="false" ht="30" hidden="false" customHeight="true" outlineLevel="0" collapsed="false">
      <c r="B12" s="9" t="s">
        <v>14</v>
      </c>
      <c r="C12" s="9" t="n">
        <v>4</v>
      </c>
    </row>
    <row r="13" customFormat="false" ht="61.15" hidden="false" customHeight="true" outlineLevel="0" collapsed="false">
      <c r="B13" s="9" t="s">
        <v>15</v>
      </c>
      <c r="C13" s="9"/>
      <c r="D13" s="11" t="n">
        <f aca="false">AVERAGE(C5:C12)</f>
        <v>3</v>
      </c>
      <c r="E13" s="1" t="s">
        <v>6</v>
      </c>
      <c r="F13" s="1"/>
    </row>
    <row r="14" customFormat="false" ht="72.35" hidden="false" customHeight="true" outlineLevel="0" collapsed="false">
      <c r="B14" s="12" t="s">
        <v>16</v>
      </c>
      <c r="C14" s="12"/>
    </row>
    <row r="15" customFormat="false" ht="44" hidden="false" customHeight="true" outlineLevel="0" collapsed="false">
      <c r="B15" s="12" t="s">
        <v>17</v>
      </c>
      <c r="C15" s="12"/>
    </row>
    <row r="18" customFormat="false" ht="30" hidden="false" customHeight="true" outlineLevel="0" collapsed="false">
      <c r="F18" s="10"/>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5">
    <mergeCell ref="B1:B2"/>
    <mergeCell ref="C1:C2"/>
    <mergeCell ref="B13:C13"/>
    <mergeCell ref="B14:C14"/>
    <mergeCell ref="B15:C15"/>
  </mergeCells>
  <dataValidations count="7">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B13 C13"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C12 D13" type="none">
      <formula1>0</formula1>
      <formula2>0</formula2>
    </dataValidation>
    <dataValidation allowBlank="true" errorStyle="stop" operator="between" prompt="Escriba el presupuesto total en esta celda." showDropDown="false" showErrorMessage="true" showInputMessage="true" sqref="D1" type="none">
      <formula1>0</formula1>
      <formula2>0</formula2>
    </dataValidation>
    <dataValidation allowBlank="true" errorStyle="stop" operator="between" prompt="El importe gastado se calcula automáticamente en esta celda." showDropDown="false" showErrorMessage="true" showInputMessage="true" sqref="D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3" t="s">
        <v>18</v>
      </c>
      <c r="C1" s="14" t="s">
        <v>19</v>
      </c>
    </row>
    <row r="2" customFormat="false" ht="30" hidden="false" customHeight="true" outlineLevel="0" collapsed="false">
      <c r="B2" s="7" t="s">
        <v>20</v>
      </c>
      <c r="C2" s="7" t="s">
        <v>21</v>
      </c>
      <c r="D2" s="7" t="s">
        <v>22</v>
      </c>
      <c r="E2" s="7" t="s">
        <v>23</v>
      </c>
      <c r="F2" s="7" t="s">
        <v>24</v>
      </c>
    </row>
    <row r="3" customFormat="false" ht="30" hidden="false" customHeight="true" outlineLevel="0" collapsed="false">
      <c r="B3" s="15" t="s">
        <v>25</v>
      </c>
      <c r="C3" s="15" t="s">
        <v>26</v>
      </c>
      <c r="D3" s="16" t="n">
        <v>36</v>
      </c>
      <c r="E3" s="17" t="s">
        <v>27</v>
      </c>
      <c r="F3" s="17" t="s">
        <v>27</v>
      </c>
    </row>
    <row r="4" customFormat="false" ht="30" hidden="false" customHeight="true" outlineLevel="0" collapsed="false">
      <c r="B4" s="15" t="s">
        <v>28</v>
      </c>
      <c r="C4" s="15" t="s">
        <v>29</v>
      </c>
      <c r="D4" s="16" t="n">
        <v>89</v>
      </c>
      <c r="E4" s="17" t="s">
        <v>27</v>
      </c>
      <c r="F4" s="17"/>
    </row>
    <row r="5" customFormat="false" ht="30" hidden="false" customHeight="true" outlineLevel="0" collapsed="false">
      <c r="B5" s="15" t="s">
        <v>30</v>
      </c>
      <c r="C5" s="15" t="s">
        <v>31</v>
      </c>
      <c r="D5" s="16" t="n">
        <v>51</v>
      </c>
      <c r="E5" s="17" t="s">
        <v>27</v>
      </c>
      <c r="F5" s="17" t="s">
        <v>27</v>
      </c>
    </row>
    <row r="6" customFormat="false" ht="30" hidden="false" customHeight="true" outlineLevel="0" collapsed="false">
      <c r="B6" s="15" t="s">
        <v>32</v>
      </c>
      <c r="C6" s="15" t="s">
        <v>33</v>
      </c>
      <c r="D6" s="16" t="n">
        <v>48</v>
      </c>
      <c r="E6" s="17"/>
      <c r="F6" s="17"/>
    </row>
    <row r="7" customFormat="false" ht="30" hidden="false" customHeight="true" outlineLevel="0" collapsed="false">
      <c r="B7" s="15" t="s">
        <v>32</v>
      </c>
      <c r="C7" s="15" t="s">
        <v>34</v>
      </c>
      <c r="D7" s="16" t="n">
        <v>57</v>
      </c>
      <c r="E7" s="17" t="s">
        <v>27</v>
      </c>
      <c r="F7" s="17"/>
    </row>
    <row r="8" customFormat="false" ht="30" hidden="false" customHeight="true" outlineLevel="0" collapsed="false">
      <c r="B8" s="15" t="s">
        <v>35</v>
      </c>
      <c r="C8" s="15" t="s">
        <v>36</v>
      </c>
      <c r="D8" s="16" t="n">
        <v>50</v>
      </c>
      <c r="E8" s="17" t="s">
        <v>27</v>
      </c>
      <c r="F8" s="17" t="s">
        <v>27</v>
      </c>
    </row>
    <row r="9" customFormat="false" ht="30" hidden="false" customHeight="true" outlineLevel="0" collapsed="false">
      <c r="B9" s="15" t="s">
        <v>25</v>
      </c>
      <c r="C9" s="15" t="s">
        <v>37</v>
      </c>
      <c r="D9" s="16" t="n">
        <v>60</v>
      </c>
      <c r="E9" s="17"/>
      <c r="F9" s="17"/>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61</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2026-05-24T17:42:50Z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