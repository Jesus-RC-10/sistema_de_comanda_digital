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<sst xmlns="http://schemas.openxmlformats.org/spreadsheetml/2006/main" count="48" uniqueCount="38">
  <si>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</si>
  <si>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</si>
  <si>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</si>
  <si>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</si>
  <si>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</si>
  <si>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Perez Estrada </t>
  </si>
  <si>
    <t xml:space="preserve">Sprint 5</t>
  </si>
  <si>
    <t xml:space="preserve">Fecha</t>
  </si>
  <si>
    <t xml:space="preserve">Sprint</t>
  </si>
  <si>
    <t xml:space="preserve">Trabajo inicial</t>
  </si>
  <si>
    <t xml:space="preserve">Trabajo restante actual</t>
  </si>
  <si>
    <t xml:space="preserve">Trabajo restante ideal</t>
  </si>
  <si>
    <t xml:space="preserve">Sprint 1</t>
  </si>
  <si>
    <t xml:space="preserve">Sprint 2</t>
  </si>
  <si>
    <t xml:space="preserve">Sprint 3</t>
  </si>
  <si>
    <t xml:space="preserve">Sprint 4</t>
  </si>
  <si>
    <t xml:space="preserve">Sprint 6</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</si>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</sst>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81720</xdr:colOff>
      <xdr:row>0</xdr:row>
      <xdr:rowOff>112320</xdr:rowOff>
    </xdr:to>
    <xdr:grpSp>
      <xdr:nvGrpSpPr>
        <xdr:cNvPr id="1" name="Borde de la página"/>
        <xdr:cNvGrpSpPr/>
      </xdr:nvGrpSpPr>
      <xdr:grpSpPr>
        <a:xfrm>
          <a:off x="0" y="0"/>
          <a:ext cx="11307240" cy="112320"/>
          <a:chOff x="0" y="0"/>
          <a:chExt cx="11307240" cy="112320"/>
        </a:xfrm>
      </xdr:grpSpPr>
      <xdr:sp>
        <xdr:nvSpPr>
          <xdr:cNvPr id="2"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81720</xdr:colOff>
      <xdr:row>0</xdr:row>
      <xdr:rowOff>112320</xdr:rowOff>
    </xdr:to>
    <xdr:grpSp>
      <xdr:nvGrpSpPr>
        <xdr:cNvPr id="5" name="Borde de la página"/>
        <xdr:cNvGrpSpPr/>
      </xdr:nvGrpSpPr>
      <xdr:grpSpPr>
        <a:xfrm>
          <a:off x="0" y="0"/>
          <a:ext cx="11307240" cy="112320"/>
          <a:chOff x="0" y="0"/>
          <a:chExt cx="11307240" cy="112320"/>
        </a:xfrm>
      </xdr:grpSpPr>
      <xdr:sp>
        <xdr:nvSpPr>
          <xdr:cNvPr id="6" name="Forma libre 10"/>
          <xdr:cNvSpPr/>
        </xdr:nvSpPr>
        <xdr:spPr>
          <a:xfrm>
            <a:off x="561240" y="0"/>
            <a:ext cx="10746000" cy="112320"/>
          </a:xfrm>
          <a:custGeom>
            <a:avLst/>
            <a:gdLst>
              <a:gd name="textAreaLeft" fmla="*/ 0 w 10746000"/>
              <a:gd name="textAreaRight" fmla="*/ 10747800 w 10746000"/>
              <a:gd name="textAreaTop" fmla="*/ 0 h 112320"/>
              <a:gd name="textAreaBottom" fmla="*/ 114480 h 11232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720" cy="112320"/>
          </a:xfrm>
          <a:custGeom>
            <a:avLst/>
            <a:gdLst>
              <a:gd name="textAreaLeft" fmla="*/ 0 w 10845720"/>
              <a:gd name="textAreaRight" fmla="*/ 10847520 w 10845720"/>
              <a:gd name="textAreaTop" fmla="*/ 0 h 112320"/>
              <a:gd name="textAreaBottom" fmla="*/ 114480 h 11232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960" cy="112320"/>
          </a:xfrm>
          <a:custGeom>
            <a:avLst/>
            <a:gdLst>
              <a:gd name="textAreaLeft" fmla="*/ 0 w 10533960"/>
              <a:gd name="textAreaRight" fmla="*/ 10535760 w 10533960"/>
              <a:gd name="textAreaTop" fmla="*/ 0 h 112320"/>
              <a:gd name="textAreaBottom" fmla="*/ 114480 h 11232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1" activeCellId="0" sqref="D1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46143</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13</v>
      </c>
      <c r="C6" s="14" t="n">
        <v>287</v>
      </c>
      <c r="D6" s="15" t="n">
        <f aca="false">287-3--5-3-5-8-8</f>
        <v>265</v>
      </c>
      <c r="E6" s="16" t="n">
        <v>265</v>
      </c>
    </row>
    <row r="7" customFormat="false" ht="30" hidden="false" customHeight="true" outlineLevel="0" collapsed="false">
      <c r="B7" s="13" t="s">
        <v>14</v>
      </c>
      <c r="C7" s="14" t="n">
        <f aca="false">E6</f>
        <v>265</v>
      </c>
      <c r="D7" s="15" t="n">
        <f aca="false">C7-5-5-5-3-8-5-5-5</f>
        <v>224</v>
      </c>
      <c r="E7" s="16" t="n">
        <v>224</v>
      </c>
    </row>
    <row r="8" customFormat="false" ht="30" hidden="false" customHeight="true" outlineLevel="0" collapsed="false">
      <c r="B8" s="13" t="s">
        <v>15</v>
      </c>
      <c r="C8" s="14" t="n">
        <f aca="false">E7</f>
        <v>224</v>
      </c>
      <c r="D8" s="15" t="n">
        <f aca="false">C8-5-3-5-3-5-3-3</f>
        <v>197</v>
      </c>
      <c r="E8" s="16" t="n">
        <v>197</v>
      </c>
    </row>
    <row r="9" customFormat="false" ht="30" hidden="false" customHeight="true" outlineLevel="0" collapsed="false">
      <c r="B9" s="13" t="s">
        <v>6</v>
      </c>
      <c r="C9" s="14" t="n">
        <f aca="false">E8</f>
        <v>197</v>
      </c>
      <c r="D9" s="15" t="n">
        <f aca="false">C9-8-3-5-8-5-8-8-5-3-5-5-5-3-3-5</f>
        <v>118</v>
      </c>
      <c r="E9" s="16" t="n">
        <v>118</v>
      </c>
    </row>
    <row r="10" customFormat="false" ht="30" hidden="false" customHeight="true" outlineLevel="0" collapsed="false">
      <c r="B10" s="13" t="s">
        <v>16</v>
      </c>
      <c r="C10" s="14" t="n">
        <f aca="false">E9</f>
        <v>118</v>
      </c>
      <c r="D10" s="17" t="n">
        <f aca="false">C10-C10</f>
        <v>0</v>
      </c>
      <c r="E10" s="16"/>
    </row>
    <row r="11" customFormat="false" ht="30" hidden="false" customHeight="true" outlineLevel="0" collapsed="false">
      <c r="B11" s="13" t="s">
        <v>17</v>
      </c>
      <c r="C11" s="14" t="n">
        <f aca="false">E10</f>
        <v>0</v>
      </c>
      <c r="D11" s="17" t="n">
        <f aca="false">C11</f>
        <v>0</v>
      </c>
      <c r="E11" s="16"/>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25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2026-05-24T15:15:49Z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