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IF(Destinatarios[[#Totals],[Historia de usuario entregadas]]=1,PresupuestoTotal*Resumen!XFD1,IF(Destinatarios[[#Totals],[Historia de usuario entregadas]]&gt;1,(PresupuestoTotal/Destinatarios[[#Totals],[Historia de usuario entregadas]])*Resumen!XFD1,PresupuestoTotal*Resumen!XFD1))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<sst xmlns="http://schemas.openxmlformats.org/spreadsheetml/2006/main" count="58" uniqueCount="44">
  <si>
    <t xml:space="preserve">Bug-Rate</t>
  </si>
  <si>
    <t xml:space="preserve">Sistema de comanda digital</t>
  </si>
  <si>
    <t xml:space="preserve">Responsable</t>
  </si>
  <si>
    <t xml:space="preserve">Jorge Edmundo Osornio Tapia</t>
  </si>
  <si>
    <t xml:space="preserve">Supervision</t>
  </si>
  <si>
    <t xml:space="preserve">Guadalupe Yosabeth Peres Estrada </t>
  </si>
  <si>
    <t xml:space="preserve">Sprint 7</t>
  </si>
  <si>
    <t xml:space="preserve">Fecha</t>
  </si>
  <si>
    <t xml:space="preserve">Sprint</t>
  </si>
  <si>
    <t xml:space="preserve">Historia de usuario entregadas</t>
  </si>
  <si>
    <t xml:space="preserve">Bugs Detectados</t>
  </si>
  <si>
    <t xml:space="preserve">Tasa de error</t>
  </si>
  <si>
    <t xml:space="preserve">Interpretación</t>
  </si>
  <si>
    <t xml:space="preserve">Sprint 1</t>
  </si>
  <si>
    <t xml:space="preserve">Errores de configuración</t>
  </si>
  <si>
    <t xml:space="preserve">Sprint 2</t>
  </si>
  <si>
    <t xml:space="preserve">Calidad alta</t>
  </si>
  <si>
    <t xml:space="preserve">Sprint 3</t>
  </si>
  <si>
    <t xml:space="preserve">Sprint 4</t>
  </si>
  <si>
    <t xml:space="preserve">Calidad aceptable</t>
  </si>
  <si>
    <t xml:space="preserve">Sprint 5</t>
  </si>
  <si>
    <t xml:space="preserve">Sprint 6</t>
  </si>
  <si>
    <t xml:space="preserve">Se seleccionó la métrica Bug Rate porque permite evaluar la calidad del software entregado durante cada Sprint mediante la medición de los defectos detectados en relación con las Historias de Usuario completadas. Esta métrica proporciona una visión objetiva sobre la estabilidad del sistema y la efectividad de las actividades de desarrollo, revisión y pruebas realizadas por el equipo. </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</si>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</sst>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6">
    <numFmt numFmtId="164" formatCode="General"/>
    <numFmt numFmtId="165" formatCode="#,##0.00&quot; €&quot;"/>
    <numFmt numFmtId="166" formatCode="dd/mm/yy"/>
    <numFmt numFmtId="167" formatCode="0%"/>
    <numFmt numFmtId="168" formatCode="0"/>
    <numFmt numFmtId="169"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5">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9"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81000</xdr:colOff>
      <xdr:row>0</xdr:row>
      <xdr:rowOff>111600</xdr:rowOff>
    </xdr:to>
    <xdr:grpSp>
      <xdr:nvGrpSpPr>
        <xdr:cNvPr id="1" name="Borde de la página"/>
        <xdr:cNvGrpSpPr/>
      </xdr:nvGrpSpPr>
      <xdr:grpSpPr>
        <a:xfrm>
          <a:off x="0" y="0"/>
          <a:ext cx="11306520" cy="111600"/>
          <a:chOff x="0" y="0"/>
          <a:chExt cx="11306520" cy="111600"/>
        </a:xfrm>
      </xdr:grpSpPr>
      <xdr:sp>
        <xdr:nvSpPr>
          <xdr:cNvPr id="2" name="Forma libre 10"/>
          <xdr:cNvSpPr/>
        </xdr:nvSpPr>
        <xdr:spPr>
          <a:xfrm>
            <a:off x="561240" y="0"/>
            <a:ext cx="10745280" cy="111600"/>
          </a:xfrm>
          <a:custGeom>
            <a:avLst/>
            <a:gdLst>
              <a:gd name="textAreaLeft" fmla="*/ 0 w 10745280"/>
              <a:gd name="textAreaRight" fmla="*/ 10747800 w 10745280"/>
              <a:gd name="textAreaTop" fmla="*/ 0 h 111600"/>
              <a:gd name="textAreaBottom" fmla="*/ 114480 h 1116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000" cy="111600"/>
          </a:xfrm>
          <a:custGeom>
            <a:avLst/>
            <a:gdLst>
              <a:gd name="textAreaLeft" fmla="*/ 0 w 10845000"/>
              <a:gd name="textAreaRight" fmla="*/ 10847520 w 10845000"/>
              <a:gd name="textAreaTop" fmla="*/ 0 h 111600"/>
              <a:gd name="textAreaBottom" fmla="*/ 114480 h 1116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240" cy="111600"/>
          </a:xfrm>
          <a:custGeom>
            <a:avLst/>
            <a:gdLst>
              <a:gd name="textAreaLeft" fmla="*/ 0 w 10533240"/>
              <a:gd name="textAreaRight" fmla="*/ 10535760 w 10533240"/>
              <a:gd name="textAreaTop" fmla="*/ 0 h 111600"/>
              <a:gd name="textAreaBottom" fmla="*/ 114480 h 1116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81000</xdr:colOff>
      <xdr:row>0</xdr:row>
      <xdr:rowOff>111600</xdr:rowOff>
    </xdr:to>
    <xdr:grpSp>
      <xdr:nvGrpSpPr>
        <xdr:cNvPr id="5" name="Borde de la página"/>
        <xdr:cNvGrpSpPr/>
      </xdr:nvGrpSpPr>
      <xdr:grpSpPr>
        <a:xfrm>
          <a:off x="0" y="0"/>
          <a:ext cx="11306520" cy="111600"/>
          <a:chOff x="0" y="0"/>
          <a:chExt cx="11306520" cy="111600"/>
        </a:xfrm>
      </xdr:grpSpPr>
      <xdr:sp>
        <xdr:nvSpPr>
          <xdr:cNvPr id="6" name="Forma libre 10"/>
          <xdr:cNvSpPr/>
        </xdr:nvSpPr>
        <xdr:spPr>
          <a:xfrm>
            <a:off x="561240" y="0"/>
            <a:ext cx="10745280" cy="111600"/>
          </a:xfrm>
          <a:custGeom>
            <a:avLst/>
            <a:gdLst>
              <a:gd name="textAreaLeft" fmla="*/ 0 w 10745280"/>
              <a:gd name="textAreaRight" fmla="*/ 10747800 w 10745280"/>
              <a:gd name="textAreaTop" fmla="*/ 0 h 111600"/>
              <a:gd name="textAreaBottom" fmla="*/ 114480 h 1116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000" cy="111600"/>
          </a:xfrm>
          <a:custGeom>
            <a:avLst/>
            <a:gdLst>
              <a:gd name="textAreaLeft" fmla="*/ 0 w 10845000"/>
              <a:gd name="textAreaRight" fmla="*/ 10847520 w 10845000"/>
              <a:gd name="textAreaTop" fmla="*/ 0 h 111600"/>
              <a:gd name="textAreaBottom" fmla="*/ 114480 h 1116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240" cy="111600"/>
          </a:xfrm>
          <a:custGeom>
            <a:avLst/>
            <a:gdLst>
              <a:gd name="textAreaLeft" fmla="*/ 0 w 10533240"/>
              <a:gd name="textAreaRight" fmla="*/ 10535760 w 10533240"/>
              <a:gd name="textAreaTop" fmla="*/ 0 h 111600"/>
              <a:gd name="textAreaBottom" fmla="*/ 114480 h 1116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F11" headerRowCount="1" totalsRowCount="0" totalsRowShown="0">
  <autoFilter ref="B4:F11"/>
  <tableColumns count="5">
    <tableColumn id="1" name="Sprint"/>
    <tableColumn id="2" name="Historia de usuario entregadas"/>
    <tableColumn id="3" name="Bugs Detectados"/>
    <tableColumn id="4" name="Tasa de error"/>
    <tableColumn id="5" name="Interpretación"/>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3"/>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F16" activeCellId="0" sqref="F16"/>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46167</v>
      </c>
    </row>
    <row r="4" customFormat="false" ht="30" hidden="false" customHeight="true" outlineLevel="0" collapsed="false">
      <c r="B4" s="12" t="s">
        <v>8</v>
      </c>
      <c r="C4" s="12" t="s">
        <v>9</v>
      </c>
      <c r="D4" s="12" t="s">
        <v>10</v>
      </c>
      <c r="E4" s="12" t="s">
        <v>11</v>
      </c>
      <c r="F4" s="12" t="s">
        <v>12</v>
      </c>
      <c r="H4" s="1"/>
    </row>
    <row r="5" customFormat="false" ht="30" hidden="false" customHeight="true" outlineLevel="0" collapsed="false">
      <c r="B5" s="13" t="s">
        <v>13</v>
      </c>
      <c r="C5" s="14" t="n">
        <v>0</v>
      </c>
      <c r="D5" s="15" t="n">
        <v>0</v>
      </c>
      <c r="E5" s="16" t="n">
        <v>0</v>
      </c>
      <c r="F5" s="16" t="s">
        <v>14</v>
      </c>
      <c r="H5" s="1"/>
    </row>
    <row r="6" customFormat="false" ht="30" hidden="false" customHeight="true" outlineLevel="0" collapsed="false">
      <c r="B6" s="13" t="s">
        <v>15</v>
      </c>
      <c r="C6" s="14" t="n">
        <v>6</v>
      </c>
      <c r="D6" s="15" t="n">
        <v>1</v>
      </c>
      <c r="E6" s="17" t="n">
        <f aca="false">D6/C6</f>
        <v>0.166666666666667</v>
      </c>
      <c r="F6" s="17" t="s">
        <v>16</v>
      </c>
      <c r="H6" s="1"/>
    </row>
    <row r="7" customFormat="false" ht="30" hidden="false" customHeight="true" outlineLevel="0" collapsed="false">
      <c r="B7" s="13" t="s">
        <v>17</v>
      </c>
      <c r="C7" s="14" t="n">
        <v>8</v>
      </c>
      <c r="D7" s="15" t="n">
        <v>1</v>
      </c>
      <c r="E7" s="17" t="n">
        <f aca="false">D7/C7</f>
        <v>0.125</v>
      </c>
      <c r="F7" s="16" t="s">
        <v>16</v>
      </c>
      <c r="H7" s="1"/>
    </row>
    <row r="8" customFormat="false" ht="30" hidden="false" customHeight="true" outlineLevel="0" collapsed="false">
      <c r="B8" s="13" t="s">
        <v>18</v>
      </c>
      <c r="C8" s="14" t="n">
        <v>8</v>
      </c>
      <c r="D8" s="15" t="n">
        <v>3</v>
      </c>
      <c r="E8" s="17" t="n">
        <f aca="false">D8/C8</f>
        <v>0.375</v>
      </c>
      <c r="F8" s="16" t="s">
        <v>19</v>
      </c>
      <c r="H8" s="1"/>
    </row>
    <row r="9" customFormat="false" ht="30" hidden="false" customHeight="true" outlineLevel="0" collapsed="false">
      <c r="B9" s="13" t="s">
        <v>20</v>
      </c>
      <c r="C9" s="14" t="n">
        <v>14</v>
      </c>
      <c r="D9" s="15" t="n">
        <v>3</v>
      </c>
      <c r="E9" s="17" t="n">
        <f aca="false">D9/C9</f>
        <v>0.214285714285714</v>
      </c>
      <c r="F9" s="16" t="s">
        <v>19</v>
      </c>
      <c r="H9" s="1"/>
    </row>
    <row r="10" customFormat="false" ht="30" hidden="false" customHeight="true" outlineLevel="0" collapsed="false">
      <c r="B10" s="13" t="s">
        <v>21</v>
      </c>
      <c r="C10" s="14" t="n">
        <v>9</v>
      </c>
      <c r="D10" s="18" t="n">
        <v>0</v>
      </c>
      <c r="E10" s="16" t="n">
        <v>0</v>
      </c>
      <c r="F10" s="16" t="s">
        <v>16</v>
      </c>
      <c r="H10" s="1"/>
    </row>
    <row r="11" customFormat="false" ht="30" hidden="false" customHeight="true" outlineLevel="0" collapsed="false">
      <c r="B11" s="13" t="s">
        <v>6</v>
      </c>
      <c r="C11" s="14" t="n">
        <v>2</v>
      </c>
      <c r="D11" s="18" t="n">
        <v>0</v>
      </c>
      <c r="E11" s="16" t="n">
        <f aca="false">D11/C11</f>
        <v>0</v>
      </c>
      <c r="F11" s="16" t="s">
        <v>16</v>
      </c>
      <c r="H11" s="1"/>
    </row>
    <row r="12" customFormat="false" ht="61.15" hidden="false" customHeight="true" outlineLevel="0" collapsed="false">
      <c r="B12" s="19" t="s">
        <v>22</v>
      </c>
      <c r="C12" s="19"/>
      <c r="D12" s="19"/>
      <c r="E12" s="19"/>
    </row>
    <row r="13" customFormat="false" ht="30" hidden="false" customHeight="true" outlineLevel="0" collapsed="false">
      <c r="B13" s="19" t="s">
        <v>23</v>
      </c>
      <c r="C13" s="19"/>
      <c r="D13" s="19"/>
      <c r="E13" s="19"/>
    </row>
  </sheetData>
  <mergeCells count="4">
    <mergeCell ref="B1:B2"/>
    <mergeCell ref="C1:D2"/>
    <mergeCell ref="B12:E12"/>
    <mergeCell ref="B13:E13"/>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F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20" t="s">
        <v>24</v>
      </c>
      <c r="C1" s="21" t="s">
        <v>25</v>
      </c>
    </row>
    <row r="2" customFormat="false" ht="30" hidden="false" customHeight="true" outlineLevel="0" collapsed="false">
      <c r="B2" s="8" t="s">
        <v>26</v>
      </c>
      <c r="C2" s="8" t="s">
        <v>27</v>
      </c>
      <c r="D2" s="8" t="s">
        <v>28</v>
      </c>
      <c r="E2" s="8" t="s">
        <v>29</v>
      </c>
      <c r="F2" s="8" t="s">
        <v>30</v>
      </c>
    </row>
    <row r="3" customFormat="false" ht="30" hidden="false" customHeight="true" outlineLevel="0" collapsed="false">
      <c r="B3" s="22" t="s">
        <v>31</v>
      </c>
      <c r="C3" s="22" t="s">
        <v>32</v>
      </c>
      <c r="D3" s="23" t="n">
        <v>36</v>
      </c>
      <c r="E3" s="24" t="s">
        <v>33</v>
      </c>
      <c r="F3" s="24" t="s">
        <v>33</v>
      </c>
    </row>
    <row r="4" customFormat="false" ht="30" hidden="false" customHeight="true" outlineLevel="0" collapsed="false">
      <c r="B4" s="22" t="s">
        <v>34</v>
      </c>
      <c r="C4" s="22" t="s">
        <v>35</v>
      </c>
      <c r="D4" s="23" t="n">
        <v>89</v>
      </c>
      <c r="E4" s="24" t="s">
        <v>33</v>
      </c>
      <c r="F4" s="24"/>
    </row>
    <row r="5" customFormat="false" ht="30" hidden="false" customHeight="true" outlineLevel="0" collapsed="false">
      <c r="B5" s="22" t="s">
        <v>36</v>
      </c>
      <c r="C5" s="22" t="s">
        <v>37</v>
      </c>
      <c r="D5" s="23" t="n">
        <v>51</v>
      </c>
      <c r="E5" s="24" t="s">
        <v>33</v>
      </c>
      <c r="F5" s="24" t="s">
        <v>33</v>
      </c>
    </row>
    <row r="6" customFormat="false" ht="30" hidden="false" customHeight="true" outlineLevel="0" collapsed="false">
      <c r="B6" s="22" t="s">
        <v>38</v>
      </c>
      <c r="C6" s="22" t="s">
        <v>39</v>
      </c>
      <c r="D6" s="23" t="n">
        <v>48</v>
      </c>
      <c r="E6" s="24"/>
      <c r="F6" s="24"/>
    </row>
    <row r="7" customFormat="false" ht="30" hidden="false" customHeight="true" outlineLevel="0" collapsed="false">
      <c r="B7" s="22" t="s">
        <v>38</v>
      </c>
      <c r="C7" s="22" t="s">
        <v>40</v>
      </c>
      <c r="D7" s="23" t="n">
        <v>57</v>
      </c>
      <c r="E7" s="24" t="s">
        <v>33</v>
      </c>
      <c r="F7" s="24"/>
    </row>
    <row r="8" customFormat="false" ht="30" hidden="false" customHeight="true" outlineLevel="0" collapsed="false">
      <c r="B8" s="22" t="s">
        <v>41</v>
      </c>
      <c r="C8" s="22" t="s">
        <v>42</v>
      </c>
      <c r="D8" s="23" t="n">
        <v>50</v>
      </c>
      <c r="E8" s="24" t="s">
        <v>33</v>
      </c>
      <c r="F8" s="24" t="s">
        <v>33</v>
      </c>
    </row>
    <row r="9" customFormat="false" ht="30" hidden="false" customHeight="true" outlineLevel="0" collapsed="false">
      <c r="B9" s="22" t="s">
        <v>31</v>
      </c>
      <c r="C9" s="22" t="s">
        <v>43</v>
      </c>
      <c r="D9" s="23" t="n">
        <v>60</v>
      </c>
      <c r="E9" s="24"/>
      <c r="F9" s="24"/>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61</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2026-05-24T16:52:18Z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