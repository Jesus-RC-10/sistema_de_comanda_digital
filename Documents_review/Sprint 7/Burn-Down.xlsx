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IF(Destinatarios[[#Totals],[Trabajo inicial]]=1,PresupuestoTotal*Resumen!XFD1,IF(Destinatarios[[#Totals],[Trabajo inicial]]&gt;1,(PresupuestoTotal/Destinatarios[[#Totals],[Trabajo inicial]])*Resumen!XFD1,PresupuestoTotal*Resumen!XFD1))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<sst xmlns="http://schemas.openxmlformats.org/spreadsheetml/2006/main" count="48" uniqueCount="38">
  <si>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Burn-Down Chart</t>
  </si>
  <si>
    <t xml:space="preserve">Sistema de comanda digital</t>
  </si>
  <si>
    <t xml:space="preserve">Responsable</t>
  </si>
  <si>
    <t xml:space="preserve">Jorge Edmundo Osornio Tapia</t>
  </si>
  <si>
    <t xml:space="preserve">Supervision</t>
  </si>
  <si>
    <t xml:space="preserve">Guadalupe Yosabeth Perez Estrada </t>
  </si>
  <si>
    <t xml:space="preserve">Sprint 7</t>
  </si>
  <si>
    <t xml:space="preserve">Fecha</t>
  </si>
  <si>
    <t xml:space="preserve">Sprint</t>
  </si>
  <si>
    <t xml:space="preserve">Trabajo inicial</t>
  </si>
  <si>
    <t xml:space="preserve">Trabajo restante actual</t>
  </si>
  <si>
    <t xml:space="preserve">Trabajo restante ideal</t>
  </si>
  <si>
    <t xml:space="preserve">Sprint 1</t>
  </si>
  <si>
    <t xml:space="preserve">Sprint 2</t>
  </si>
  <si>
    <t xml:space="preserve">Sprint 3</t>
  </si>
  <si>
    <t xml:space="preserve">Sprint 4</t>
  </si>
  <si>
    <t xml:space="preserve">Sprint 5</t>
  </si>
  <si>
    <t xml:space="preserve">Sprint 6</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</si>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</sst>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5">
    <numFmt numFmtId="164" formatCode="General"/>
    <numFmt numFmtId="165" formatCode="#,##0.00&quot; €&quot;"/>
    <numFmt numFmtId="166" formatCode="dd\-mmm\-yy"/>
    <numFmt numFmtId="167" formatCode="0%"/>
    <numFmt numFmtId="168" formatCode="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3">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1" name="Borde de la página"/>
        <xdr:cNvGrpSpPr/>
      </xdr:nvGrpSpPr>
      <xdr:grpSpPr>
        <a:xfrm>
          <a:off x="0" y="0"/>
          <a:ext cx="11306880" cy="111960"/>
          <a:chOff x="0" y="0"/>
          <a:chExt cx="11306880" cy="111960"/>
        </a:xfrm>
      </xdr:grpSpPr>
      <xdr:sp>
        <xdr:nvSpPr>
          <xdr:cNvPr id="2"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5" name="Borde de la página"/>
        <xdr:cNvGrpSpPr/>
      </xdr:nvGrpSpPr>
      <xdr:grpSpPr>
        <a:xfrm>
          <a:off x="0" y="0"/>
          <a:ext cx="11306880" cy="111960"/>
          <a:chOff x="0" y="0"/>
          <a:chExt cx="11306880" cy="111960"/>
        </a:xfrm>
      </xdr:grpSpPr>
      <xdr:sp>
        <xdr:nvSpPr>
          <xdr:cNvPr id="6"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E11" headerRowCount="1" totalsRowCount="0" totalsRowShown="0">
  <autoFilter ref="B4:E11"/>
  <tableColumns count="4">
    <tableColumn id="1" name="Sprint"/>
    <tableColumn id="2" name="Trabajo inicial"/>
    <tableColumn id="3" name="Trabajo restante actual"/>
    <tableColumn id="4" name="Trabajo restante ideal"/>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F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F4" activeCellId="0" sqref="F4"/>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46170</v>
      </c>
    </row>
    <row r="4" customFormat="false" ht="30" hidden="false" customHeight="true" outlineLevel="0" collapsed="false">
      <c r="B4" s="12" t="s">
        <v>8</v>
      </c>
      <c r="C4" s="12" t="s">
        <v>9</v>
      </c>
      <c r="D4" s="12" t="s">
        <v>10</v>
      </c>
      <c r="E4" s="12" t="s">
        <v>11</v>
      </c>
    </row>
    <row r="5" customFormat="false" ht="30" hidden="false" customHeight="true" outlineLevel="0" collapsed="false">
      <c r="B5" s="13" t="s">
        <v>12</v>
      </c>
      <c r="C5" s="14" t="n">
        <f aca="false">3+5+3+5+5+3+3+5+5+3+2+5+3+5+3+5+3+3+5+3+3+3+8+8+8+5+5+8+8+8+3+5+5+3+5+3+5+3+3+5+3+5+2+8+3+5+3+3+5+5+5+3+5+5+8+5+8+3+5+3+3+8+3</f>
        <v>287</v>
      </c>
      <c r="D5" s="15" t="n">
        <v>287</v>
      </c>
      <c r="E5" s="16" t="n">
        <v>287</v>
      </c>
    </row>
    <row r="6" customFormat="false" ht="30" hidden="false" customHeight="true" outlineLevel="0" collapsed="false">
      <c r="B6" s="13" t="s">
        <v>13</v>
      </c>
      <c r="C6" s="14" t="n">
        <v>287</v>
      </c>
      <c r="D6" s="15" t="n">
        <f aca="false">287-3--5-3-5-8-8</f>
        <v>265</v>
      </c>
      <c r="E6" s="16" t="n">
        <v>265</v>
      </c>
    </row>
    <row r="7" customFormat="false" ht="30" hidden="false" customHeight="true" outlineLevel="0" collapsed="false">
      <c r="B7" s="13" t="s">
        <v>14</v>
      </c>
      <c r="C7" s="14" t="n">
        <f aca="false">E6</f>
        <v>265</v>
      </c>
      <c r="D7" s="15" t="n">
        <f aca="false">C7-5-5-5-3-8-5-5-5</f>
        <v>224</v>
      </c>
      <c r="E7" s="16" t="n">
        <v>224</v>
      </c>
    </row>
    <row r="8" customFormat="false" ht="30" hidden="false" customHeight="true" outlineLevel="0" collapsed="false">
      <c r="B8" s="13" t="s">
        <v>15</v>
      </c>
      <c r="C8" s="14" t="n">
        <f aca="false">E7</f>
        <v>224</v>
      </c>
      <c r="D8" s="15" t="n">
        <f aca="false">C8-5-3-5-3-5-3-3</f>
        <v>197</v>
      </c>
      <c r="E8" s="16" t="n">
        <v>197</v>
      </c>
    </row>
    <row r="9" customFormat="false" ht="30" hidden="false" customHeight="true" outlineLevel="0" collapsed="false">
      <c r="B9" s="13" t="s">
        <v>16</v>
      </c>
      <c r="C9" s="14" t="n">
        <f aca="false">E8</f>
        <v>197</v>
      </c>
      <c r="D9" s="15" t="n">
        <f aca="false">C9-8-3-5-8-5-8-8-5-3-5-5-5-3-3-5</f>
        <v>118</v>
      </c>
      <c r="E9" s="16" t="n">
        <v>118</v>
      </c>
    </row>
    <row r="10" customFormat="false" ht="30" hidden="false" customHeight="true" outlineLevel="0" collapsed="false">
      <c r="B10" s="13" t="s">
        <v>17</v>
      </c>
      <c r="C10" s="14" t="n">
        <f aca="false">E9</f>
        <v>118</v>
      </c>
      <c r="D10" s="17" t="n">
        <f aca="false">C10-8-5-8-8-5-8-3-3-3</f>
        <v>67</v>
      </c>
      <c r="E10" s="16" t="n">
        <v>67</v>
      </c>
    </row>
    <row r="11" customFormat="false" ht="30" hidden="false" customHeight="true" outlineLevel="0" collapsed="false">
      <c r="B11" s="13" t="s">
        <v>6</v>
      </c>
      <c r="C11" s="14" t="n">
        <f aca="false">E10</f>
        <v>67</v>
      </c>
      <c r="D11" s="17" t="n">
        <f aca="false">C11-5-5</f>
        <v>57</v>
      </c>
      <c r="E11" s="16" t="n">
        <v>0</v>
      </c>
    </row>
  </sheetData>
  <mergeCells count="2">
    <mergeCell ref="B1:B2"/>
    <mergeCell ref="C1:D2"/>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8" t="s">
        <v>18</v>
      </c>
      <c r="C1" s="19" t="s">
        <v>19</v>
      </c>
    </row>
    <row r="2" customFormat="false" ht="30" hidden="false" customHeight="true" outlineLevel="0" collapsed="false">
      <c r="B2" s="8" t="s">
        <v>20</v>
      </c>
      <c r="C2" s="8" t="s">
        <v>21</v>
      </c>
      <c r="D2" s="8" t="s">
        <v>22</v>
      </c>
      <c r="E2" s="8" t="s">
        <v>23</v>
      </c>
      <c r="F2" s="8" t="s">
        <v>24</v>
      </c>
    </row>
    <row r="3" customFormat="false" ht="30" hidden="false" customHeight="true" outlineLevel="0" collapsed="false">
      <c r="B3" s="20" t="s">
        <v>25</v>
      </c>
      <c r="C3" s="20" t="s">
        <v>26</v>
      </c>
      <c r="D3" s="21" t="n">
        <v>36</v>
      </c>
      <c r="E3" s="22" t="s">
        <v>27</v>
      </c>
      <c r="F3" s="22" t="s">
        <v>27</v>
      </c>
    </row>
    <row r="4" customFormat="false" ht="30" hidden="false" customHeight="true" outlineLevel="0" collapsed="false">
      <c r="B4" s="20" t="s">
        <v>28</v>
      </c>
      <c r="C4" s="20" t="s">
        <v>29</v>
      </c>
      <c r="D4" s="21" t="n">
        <v>89</v>
      </c>
      <c r="E4" s="22" t="s">
        <v>27</v>
      </c>
      <c r="F4" s="22"/>
    </row>
    <row r="5" customFormat="false" ht="30" hidden="false" customHeight="true" outlineLevel="0" collapsed="false">
      <c r="B5" s="20" t="s">
        <v>30</v>
      </c>
      <c r="C5" s="20" t="s">
        <v>31</v>
      </c>
      <c r="D5" s="21" t="n">
        <v>51</v>
      </c>
      <c r="E5" s="22" t="s">
        <v>27</v>
      </c>
      <c r="F5" s="22" t="s">
        <v>27</v>
      </c>
    </row>
    <row r="6" customFormat="false" ht="30" hidden="false" customHeight="true" outlineLevel="0" collapsed="false">
      <c r="B6" s="20" t="s">
        <v>32</v>
      </c>
      <c r="C6" s="20" t="s">
        <v>33</v>
      </c>
      <c r="D6" s="21" t="n">
        <v>48</v>
      </c>
      <c r="E6" s="22"/>
      <c r="F6" s="22"/>
    </row>
    <row r="7" customFormat="false" ht="30" hidden="false" customHeight="true" outlineLevel="0" collapsed="false">
      <c r="B7" s="20" t="s">
        <v>32</v>
      </c>
      <c r="C7" s="20" t="s">
        <v>34</v>
      </c>
      <c r="D7" s="21" t="n">
        <v>57</v>
      </c>
      <c r="E7" s="22" t="s">
        <v>27</v>
      </c>
      <c r="F7" s="22"/>
    </row>
    <row r="8" customFormat="false" ht="30" hidden="false" customHeight="true" outlineLevel="0" collapsed="false">
      <c r="B8" s="20" t="s">
        <v>35</v>
      </c>
      <c r="C8" s="20" t="s">
        <v>36</v>
      </c>
      <c r="D8" s="21" t="n">
        <v>50</v>
      </c>
      <c r="E8" s="22" t="s">
        <v>27</v>
      </c>
      <c r="F8" s="22" t="s">
        <v>27</v>
      </c>
    </row>
    <row r="9" customFormat="false" ht="30" hidden="false" customHeight="true" outlineLevel="0" collapsed="false">
      <c r="B9" s="20" t="s">
        <v>25</v>
      </c>
      <c r="C9" s="20" t="s">
        <v>37</v>
      </c>
      <c r="D9" s="21" t="n">
        <v>60</v>
      </c>
      <c r="E9" s="22"/>
      <c r="F9" s="22"/>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31</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2026-05-24T15:22:13Z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